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per_metadata" sheetId="1" r:id="rId4"/>
    <sheet state="visible" name="gray wolf" sheetId="2" r:id="rId5"/>
    <sheet state="visible" name="coyote" sheetId="3" r:id="rId6"/>
    <sheet state="visible" name="lion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1">
      <text>
        <t xml:space="preserve">exclude Hauge &amp; Keith 1981, uses Fuller's wolf pack data
	-Sam Brunner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70">
      <text>
        <t xml:space="preserve">not reported directly, but 75 km2/wolf * 4.4 wolfs per pack
	-Sam Brunner</t>
      </text>
    </comment>
  </commentList>
</comments>
</file>

<file path=xl/sharedStrings.xml><?xml version="1.0" encoding="utf-8"?>
<sst xmlns="http://schemas.openxmlformats.org/spreadsheetml/2006/main" count="853" uniqueCount="212">
  <si>
    <t>paper_num</t>
  </si>
  <si>
    <t>entered</t>
  </si>
  <si>
    <t>paper</t>
  </si>
  <si>
    <t>species</t>
  </si>
  <si>
    <t>continent</t>
  </si>
  <si>
    <t>country/city</t>
  </si>
  <si>
    <t>study area (km^2)</t>
  </si>
  <si>
    <t>body size (in study?)</t>
  </si>
  <si>
    <t>number of social groups in study</t>
  </si>
  <si>
    <t>notes</t>
  </si>
  <si>
    <t>WOS_searchTerm</t>
  </si>
  <si>
    <t>Bowen_1980</t>
  </si>
  <si>
    <t>Canis latrans</t>
  </si>
  <si>
    <t>North America</t>
  </si>
  <si>
    <t>Jasper National Park, Canada</t>
  </si>
  <si>
    <t>NA</t>
  </si>
  <si>
    <t>Patterson_Messier_2000</t>
  </si>
  <si>
    <t>Nova Scotia, Canada</t>
  </si>
  <si>
    <t>see table 1</t>
  </si>
  <si>
    <t>Thurber_Peterson_1993</t>
  </si>
  <si>
    <t>Canis lupus</t>
  </si>
  <si>
    <t>Isle Royal National Park, USA</t>
  </si>
  <si>
    <t>2-4/year</t>
  </si>
  <si>
    <t>Some values may need to be inferred from figures</t>
  </si>
  <si>
    <t>Schmidt_Mech_1997</t>
  </si>
  <si>
    <t>many</t>
  </si>
  <si>
    <t>synthesis study, see table 1 for data and refs</t>
  </si>
  <si>
    <t>Fritts_Mech_1981</t>
  </si>
  <si>
    <t>Beltrami Island State Forest, USA</t>
  </si>
  <si>
    <t>table 5 and 12, from paper #3</t>
  </si>
  <si>
    <t>Messer_1984.pdf</t>
  </si>
  <si>
    <t>Quebec, Canada</t>
  </si>
  <si>
    <t>Table 2</t>
  </si>
  <si>
    <t>social carnivore AND territory size AND prey density</t>
  </si>
  <si>
    <t>Zimmerman_etal_2014.pdf</t>
  </si>
  <si>
    <t>Europe</t>
  </si>
  <si>
    <t>Scandinavia</t>
  </si>
  <si>
    <t>south-eastern Norway,at 59°–63° North and 11°–19° East</t>
  </si>
  <si>
    <t>Table S1</t>
  </si>
  <si>
    <t>no - see table 2</t>
  </si>
  <si>
    <t>Fuller_1989.pdf</t>
  </si>
  <si>
    <t>Minnesota, Ontario, Quebec</t>
  </si>
  <si>
    <t>Table 2, see cited papers</t>
  </si>
  <si>
    <t>yes</t>
  </si>
  <si>
    <t>Fuller_Keith_1980.pdf</t>
  </si>
  <si>
    <t>NE Alberta</t>
  </si>
  <si>
    <t>Table 2, Table 6</t>
  </si>
  <si>
    <t>Messer_1984 reference</t>
  </si>
  <si>
    <t>no - see table 4</t>
  </si>
  <si>
    <t>Bergerud_etal_1983.pdf</t>
  </si>
  <si>
    <t>Pukaskwa National Park, Ontario</t>
  </si>
  <si>
    <t>Table 1, see also Messer 1984 Table 3</t>
  </si>
  <si>
    <t>no - see highlighted cells</t>
  </si>
  <si>
    <t>Haber_1977_Dissertation.pdf</t>
  </si>
  <si>
    <t>Denali, Alaska</t>
  </si>
  <si>
    <t>Pulling main data from Fuller_1989 Table 3</t>
  </si>
  <si>
    <t>no - EXCLUDE</t>
  </si>
  <si>
    <t>Pimlott_1967.pdf</t>
  </si>
  <si>
    <t>Algonquin Park, Ontario</t>
  </si>
  <si>
    <t>review study</t>
  </si>
  <si>
    <t>Potvin_1987.pdf</t>
  </si>
  <si>
    <t>Papineau-Labelle reserve, Quebec</t>
  </si>
  <si>
    <t>Kolenosky_1972.pdf</t>
  </si>
  <si>
    <t>Parry Sound Forest District, Ontario</t>
  </si>
  <si>
    <t>yes, all individuals in one pack</t>
  </si>
  <si>
    <t>Smith_etal_2004.pdf</t>
  </si>
  <si>
    <t>Yellowstone national park</t>
  </si>
  <si>
    <t>no</t>
  </si>
  <si>
    <t>Orning_2019.pdf</t>
  </si>
  <si>
    <t>NE Oregon</t>
  </si>
  <si>
    <t>also published: orning-et-al-2021-gray-wolf-(canis-lupus)-predation-patterns-following-recent-recolonization-in-a-multi-predator-multi.pdf</t>
  </si>
  <si>
    <t>Metz_etal_2011.pdf</t>
  </si>
  <si>
    <t>Martinez_2024.pdf</t>
  </si>
  <si>
    <t>Canis lupus baileyi</t>
  </si>
  <si>
    <t>MWEPA, New Mexico and Arizona</t>
  </si>
  <si>
    <t>abstract, p76</t>
  </si>
  <si>
    <t>Tallents_etal_2011.pdf</t>
  </si>
  <si>
    <t>Canis simensis</t>
  </si>
  <si>
    <t>Africa</t>
  </si>
  <si>
    <t>Ethiopia</t>
  </si>
  <si>
    <t>this one will take some cobbling together: see Figure 2, Table 3, Table 5. Also, there are many packs, but data are split out into 3 "regions", and values are means for packs in those regions</t>
  </si>
  <si>
    <t>Honer_etal_2005.pdf</t>
  </si>
  <si>
    <t>Crocuta crocuta</t>
  </si>
  <si>
    <t>Ngorongoro Crater, Tanzania</t>
  </si>
  <si>
    <t>Table 3, also has recruitment rate and mortality rate</t>
  </si>
  <si>
    <t>Cooper_1989.pdf</t>
  </si>
  <si>
    <t>Chobe National Park, Botwana</t>
  </si>
  <si>
    <t>Spong_2002</t>
  </si>
  <si>
    <t>Panthera leo</t>
  </si>
  <si>
    <t>Selous Game Reserve, Tanzania</t>
  </si>
  <si>
    <t>tables 1 and 2</t>
  </si>
  <si>
    <t>Jędrzejewski_etal_2022.pdf</t>
  </si>
  <si>
    <t>Panthera onca</t>
  </si>
  <si>
    <t>South America</t>
  </si>
  <si>
    <t>Venezuela and Brazil</t>
  </si>
  <si>
    <t>Table S5, male jaguar coalitions</t>
  </si>
  <si>
    <t>Paper</t>
  </si>
  <si>
    <t>Species</t>
  </si>
  <si>
    <t>group_ID</t>
  </si>
  <si>
    <t>date range</t>
  </si>
  <si>
    <t>season</t>
  </si>
  <si>
    <t xml:space="preserve">group_size_range </t>
  </si>
  <si>
    <t>mean_group_size</t>
  </si>
  <si>
    <t>predator_density</t>
  </si>
  <si>
    <t>predator_density_units</t>
  </si>
  <si>
    <t>territory_size</t>
  </si>
  <si>
    <t>territory_size_units</t>
  </si>
  <si>
    <t>prey_density</t>
  </si>
  <si>
    <t>prey_density_units</t>
  </si>
  <si>
    <t>Fritts_Mech_1981.pdf</t>
  </si>
  <si>
    <t>Clear River</t>
  </si>
  <si>
    <t>1972–1973</t>
  </si>
  <si>
    <t>winter</t>
  </si>
  <si>
    <t>km^2</t>
  </si>
  <si>
    <t>kg / wolf / day</t>
  </si>
  <si>
    <t>1974–1975</t>
  </si>
  <si>
    <t>1975–1976</t>
  </si>
  <si>
    <t>Winner/Thief Lake</t>
  </si>
  <si>
    <t>1973–1974</t>
  </si>
  <si>
    <t>1976–1977</t>
  </si>
  <si>
    <t>?</t>
  </si>
  <si>
    <t>Faunce (original)</t>
  </si>
  <si>
    <t>Faunce (new)</t>
  </si>
  <si>
    <t>Peet’s</t>
  </si>
  <si>
    <t>Rapid River</t>
  </si>
  <si>
    <t>Bankton</t>
  </si>
  <si>
    <t>Vacuum</t>
  </si>
  <si>
    <t>Baudette River</t>
  </si>
  <si>
    <t>Hogsback</t>
  </si>
  <si>
    <t>Morehouse</t>
  </si>
  <si>
    <t>Waskish</t>
  </si>
  <si>
    <t>Malcolm</t>
  </si>
  <si>
    <t>Northome</t>
  </si>
  <si>
    <t>No. 5141</t>
  </si>
  <si>
    <t>No. 5143</t>
  </si>
  <si>
    <t>No. 5171</t>
  </si>
  <si>
    <t>H1</t>
  </si>
  <si>
    <t>1980–1981</t>
  </si>
  <si>
    <t>no. Moose/km2</t>
  </si>
  <si>
    <t>1981–1982</t>
  </si>
  <si>
    <t>1982–1983</t>
  </si>
  <si>
    <t>1983–1984</t>
  </si>
  <si>
    <t>H2</t>
  </si>
  <si>
    <t>H4</t>
  </si>
  <si>
    <t>H5</t>
  </si>
  <si>
    <t>H6</t>
  </si>
  <si>
    <t>H8</t>
  </si>
  <si>
    <t>L1</t>
  </si>
  <si>
    <t>L2</t>
  </si>
  <si>
    <t>L3</t>
  </si>
  <si>
    <t>L4</t>
  </si>
  <si>
    <t>L5</t>
  </si>
  <si>
    <t>L8</t>
  </si>
  <si>
    <t>Muskeg River</t>
  </si>
  <si>
    <t>Jan-Mar 1977</t>
  </si>
  <si>
    <t>km^2 per wolf</t>
  </si>
  <si>
    <t>no. Moose per wolf per day</t>
  </si>
  <si>
    <t>Nov 77 - Mar 78</t>
  </si>
  <si>
    <t>Jan - Mar 1978</t>
  </si>
  <si>
    <t>Apr - May 1978</t>
  </si>
  <si>
    <t>spring</t>
  </si>
  <si>
    <t>Syncrude</t>
  </si>
  <si>
    <t>Black</t>
  </si>
  <si>
    <t>Feb - Mar 78</t>
  </si>
  <si>
    <t>Foley Lake</t>
  </si>
  <si>
    <t>Jan - Mar 1976</t>
  </si>
  <si>
    <t>combined - see Messer_1984.pdf table 3</t>
  </si>
  <si>
    <t>1975-1979</t>
  </si>
  <si>
    <t>km2/wolf</t>
  </si>
  <si>
    <t>moose/km2</t>
  </si>
  <si>
    <t>combined - see Fuller_Keith_1980.pdf Table 4</t>
  </si>
  <si>
    <t>ungulate per wolf</t>
  </si>
  <si>
    <t>deer per km2</t>
  </si>
  <si>
    <t>northern range</t>
  </si>
  <si>
    <t>1997-2000</t>
  </si>
  <si>
    <t>year round</t>
  </si>
  <si>
    <t>14-28</t>
  </si>
  <si>
    <t>wolves / 1000 km^2</t>
  </si>
  <si>
    <t>could maybe get territory size from MCP figures</t>
  </si>
  <si>
    <t>elk per wolf per day</t>
  </si>
  <si>
    <t>not-northern range</t>
  </si>
  <si>
    <t>combined</t>
  </si>
  <si>
    <t>2018-2024</t>
  </si>
  <si>
    <t>0.93-1.76</t>
  </si>
  <si>
    <t>kills per pack per week (seasonal)</t>
  </si>
  <si>
    <t>24.19 - 48.25 kg/week/wolf (seasonal)</t>
  </si>
  <si>
    <t>Meacham</t>
  </si>
  <si>
    <t>2014-2016</t>
  </si>
  <si>
    <t>winter and summer</t>
  </si>
  <si>
    <t>kills per pack per week</t>
  </si>
  <si>
    <t>kg ungulate/week/wolf</t>
  </si>
  <si>
    <t>Mt. Emily</t>
  </si>
  <si>
    <t>Wenaha</t>
  </si>
  <si>
    <t>OR13 Pair</t>
  </si>
  <si>
    <t>prey_density2</t>
  </si>
  <si>
    <t>prey_density2_units</t>
  </si>
  <si>
    <t>prey_density3</t>
  </si>
  <si>
    <t>prey_density3_units</t>
  </si>
  <si>
    <t>Patterson_Messier_2000.pdf</t>
  </si>
  <si>
    <t>Tupper Lake</t>
  </si>
  <si>
    <t>MCP (km^2)</t>
  </si>
  <si>
    <t>deer killed / 100 days</t>
  </si>
  <si>
    <t>Deer density (deer/km²)</t>
  </si>
  <si>
    <t>Hare density (pellets/m²)</t>
  </si>
  <si>
    <t>Devonshire</t>
  </si>
  <si>
    <t>Keji</t>
  </si>
  <si>
    <t>Eden</t>
  </si>
  <si>
    <t>Maple Brook</t>
  </si>
  <si>
    <t>Iona</t>
  </si>
  <si>
    <t>Roseburn</t>
  </si>
  <si>
    <t>Skye Mt.</t>
  </si>
  <si>
    <t>River Denys Mt.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</si>
</sst>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u/>
      <color theme="1"/>
      <name val="Arial"/>
      <scheme val="minor"/>
    </font>
    <font>
      <color theme="1"/>
      <name val="Arial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2" fontId="2" numFmtId="0" xfId="0" applyFill="1" applyFont="1"/>
    <xf borderId="0" fillId="0" fontId="2" numFmtId="0" xfId="0" applyFont="1"/>
    <xf borderId="0" fillId="3" fontId="2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6" numFmtId="0" xfId="0" applyAlignment="1" applyFont="1">
      <alignment readingOrder="0" vertical="top"/>
    </xf>
    <xf borderId="0" fillId="2" fontId="2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keZSLyuTVjFLYHv4ir79X08CUjwoLfAU" TargetMode="External"/><Relationship Id="rId22" Type="http://schemas.openxmlformats.org/officeDocument/2006/relationships/hyperlink" Target="https://drive.google.com/open?id=1GI7wez3X70EmUblxeVFBXJG6Dp4f1qSC" TargetMode="External"/><Relationship Id="rId21" Type="http://schemas.openxmlformats.org/officeDocument/2006/relationships/hyperlink" Target="https://drive.google.com/open?id=1meu9G29020Fkn53fsM-cDaV7GKlixoiT" TargetMode="External"/><Relationship Id="rId24" Type="http://schemas.openxmlformats.org/officeDocument/2006/relationships/hyperlink" Target="https://drive.google.com/open?id=1Cki6FCllCmE6FQXG3IJJX3GlLDSWA2Ht" TargetMode="External"/><Relationship Id="rId23" Type="http://schemas.openxmlformats.org/officeDocument/2006/relationships/hyperlink" Target="https://drive.google.com/open?id=11BmOvYDLJfLymsARx5ZI9KmJZl1AVZO3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zendulv4h1JqW8b0_64KzVOXavU85lIr" TargetMode="External"/><Relationship Id="rId3" Type="http://schemas.openxmlformats.org/officeDocument/2006/relationships/hyperlink" Target="https://drive.google.com/open?id=1h3JRax3EH_v5HPnXL5e6oSZdD_ePCJys" TargetMode="External"/><Relationship Id="rId4" Type="http://schemas.openxmlformats.org/officeDocument/2006/relationships/hyperlink" Target="https://drive.google.com/open?id=19GuaBBkUedq6mor799IK5qiVvGM1hhle" TargetMode="External"/><Relationship Id="rId9" Type="http://schemas.openxmlformats.org/officeDocument/2006/relationships/hyperlink" Target="https://drive.google.com/open?id=1I6Y1Hz_gE_25cqrc16kcTznRSOazkk7w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open?id=1lbanWukcygaKdLlir2pj6Sf7ggUpwND_" TargetMode="External"/><Relationship Id="rId27" Type="http://schemas.openxmlformats.org/officeDocument/2006/relationships/vmlDrawing" Target="../drawings/vmlDrawing1.vml"/><Relationship Id="rId5" Type="http://schemas.openxmlformats.org/officeDocument/2006/relationships/hyperlink" Target="https://drive.google.com/open?id=1iN8uqNoW90qGpN3ftzlcCAw2jf1wdFK7" TargetMode="External"/><Relationship Id="rId6" Type="http://schemas.openxmlformats.org/officeDocument/2006/relationships/hyperlink" Target="https://drive.google.com/open?id=1iN8uqNoW90qGpN3ftzlcCAw2jf1wdFK7" TargetMode="External"/><Relationship Id="rId7" Type="http://schemas.openxmlformats.org/officeDocument/2006/relationships/hyperlink" Target="https://drive.google.com/open?id=1b5AfT_ENCOD8CTDJj8uePNEtUxkfKuR9" TargetMode="External"/><Relationship Id="rId8" Type="http://schemas.openxmlformats.org/officeDocument/2006/relationships/hyperlink" Target="https://drive.google.com/open?id=1m35NyXKzG9QRGOkaXS5V-XvhviBhXqMV" TargetMode="External"/><Relationship Id="rId11" Type="http://schemas.openxmlformats.org/officeDocument/2006/relationships/hyperlink" Target="https://drive.google.com/open?id=12ln0g8rANckFGp0A0NXOoThIRlL7Fnwl" TargetMode="External"/><Relationship Id="rId10" Type="http://schemas.openxmlformats.org/officeDocument/2006/relationships/hyperlink" Target="https://drive.google.com/open?id=1Jsz38-uSh49rtpKhVFEbAgZTbnv1rKqS" TargetMode="External"/><Relationship Id="rId13" Type="http://schemas.openxmlformats.org/officeDocument/2006/relationships/hyperlink" Target="https://drive.google.com/open?id=1smN0kFrbfUpbDICB0JUXrpn4_vgHe3rY" TargetMode="External"/><Relationship Id="rId12" Type="http://schemas.openxmlformats.org/officeDocument/2006/relationships/hyperlink" Target="https://drive.google.com/open?id=1kBqkKdHBuwzQ9H-hEdRVTuLmMtQSt7_5" TargetMode="External"/><Relationship Id="rId15" Type="http://schemas.openxmlformats.org/officeDocument/2006/relationships/hyperlink" Target="https://drive.google.com/open?id=1bDDyRmIoS6FOB5_UtO-YInaOesmnJlRs" TargetMode="External"/><Relationship Id="rId14" Type="http://schemas.openxmlformats.org/officeDocument/2006/relationships/hyperlink" Target="https://drive.google.com/open?id=1Nj8TzoKrGCxojXpIbzBYnAkQ_p9uPuZp" TargetMode="External"/><Relationship Id="rId17" Type="http://schemas.openxmlformats.org/officeDocument/2006/relationships/hyperlink" Target="https://drive.google.com/open?id=15wVcL3ua-17X7Ge8Ct_BSPufUzaqbFTB" TargetMode="External"/><Relationship Id="rId16" Type="http://schemas.openxmlformats.org/officeDocument/2006/relationships/hyperlink" Target="https://drive.google.com/open?id=1MfhEox-g_HAp78IIoc8eW0-XRhUgApRA" TargetMode="External"/><Relationship Id="rId19" Type="http://schemas.openxmlformats.org/officeDocument/2006/relationships/hyperlink" Target="https://drive.google.com/open?id=1sSQ3Fu5InUDLgoujkSRW1-hJNyxiMAMl" TargetMode="External"/><Relationship Id="rId18" Type="http://schemas.openxmlformats.org/officeDocument/2006/relationships/hyperlink" Target="https://drive.google.com/open?id=1ArBb9140Y1Sg2COQqlMDWY2ACmROkGCZ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5AfT_ENCOD8CTDJj8uePNEtUxkfKuR9" TargetMode="External"/><Relationship Id="rId84" Type="http://schemas.openxmlformats.org/officeDocument/2006/relationships/hyperlink" Target="https://drive.google.com/open?id=15wVcL3ua-17X7Ge8Ct_BSPufUzaqbFTB" TargetMode="External"/><Relationship Id="rId83" Type="http://schemas.openxmlformats.org/officeDocument/2006/relationships/hyperlink" Target="https://drive.google.com/open?id=15wVcL3ua-17X7Ge8Ct_BSPufUzaqbFTB" TargetMode="External"/><Relationship Id="rId42" Type="http://schemas.openxmlformats.org/officeDocument/2006/relationships/hyperlink" Target="https://drive.google.com/open?id=1b5AfT_ENCOD8CTDJj8uePNEtUxkfKuR9" TargetMode="External"/><Relationship Id="rId86" Type="http://schemas.openxmlformats.org/officeDocument/2006/relationships/vmlDrawing" Target="../drawings/vmlDrawing2.vml"/><Relationship Id="rId41" Type="http://schemas.openxmlformats.org/officeDocument/2006/relationships/hyperlink" Target="https://drive.google.com/open?id=1b5AfT_ENCOD8CTDJj8uePNEtUxkfKuR9" TargetMode="External"/><Relationship Id="rId85" Type="http://schemas.openxmlformats.org/officeDocument/2006/relationships/drawing" Target="../drawings/drawing2.xml"/><Relationship Id="rId44" Type="http://schemas.openxmlformats.org/officeDocument/2006/relationships/hyperlink" Target="https://drive.google.com/open?id=1b5AfT_ENCOD8CTDJj8uePNEtUxkfKuR9" TargetMode="External"/><Relationship Id="rId43" Type="http://schemas.openxmlformats.org/officeDocument/2006/relationships/hyperlink" Target="https://drive.google.com/open?id=1b5AfT_ENCOD8CTDJj8uePNEtUxkfKuR9" TargetMode="External"/><Relationship Id="rId46" Type="http://schemas.openxmlformats.org/officeDocument/2006/relationships/hyperlink" Target="https://drive.google.com/open?id=1b5AfT_ENCOD8CTDJj8uePNEtUxkfKuR9" TargetMode="External"/><Relationship Id="rId45" Type="http://schemas.openxmlformats.org/officeDocument/2006/relationships/hyperlink" Target="https://drive.google.com/open?id=1b5AfT_ENCOD8CTDJj8uePNEtUxkfKuR9" TargetMode="External"/><Relationship Id="rId80" Type="http://schemas.openxmlformats.org/officeDocument/2006/relationships/hyperlink" Target="https://drive.google.com/open?id=1keZSLyuTVjFLYHv4ir79X08CUjwoLfAU" TargetMode="External"/><Relationship Id="rId82" Type="http://schemas.openxmlformats.org/officeDocument/2006/relationships/hyperlink" Target="https://drive.google.com/open?id=15wVcL3ua-17X7Ge8Ct_BSPufUzaqbFTB" TargetMode="External"/><Relationship Id="rId81" Type="http://schemas.openxmlformats.org/officeDocument/2006/relationships/hyperlink" Target="https://drive.google.com/open?id=15wVcL3ua-17X7Ge8Ct_BSPufUzaqbFTB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drive.google.com/open?id=19GuaBBkUedq6mor799IK5qiVvGM1hhle" TargetMode="External"/><Relationship Id="rId3" Type="http://schemas.openxmlformats.org/officeDocument/2006/relationships/hyperlink" Target="https://drive.google.com/open?id=1yjleh5xEOvOYdtcju2BKhHw27MTPAJIp" TargetMode="External"/><Relationship Id="rId4" Type="http://schemas.openxmlformats.org/officeDocument/2006/relationships/hyperlink" Target="https://drive.google.com/open?id=1yjleh5xEOvOYdtcju2BKhHw27MTPAJIp" TargetMode="External"/><Relationship Id="rId9" Type="http://schemas.openxmlformats.org/officeDocument/2006/relationships/hyperlink" Target="https://drive.google.com/open?id=1yjleh5xEOvOYdtcju2BKhHw27MTPAJIp" TargetMode="External"/><Relationship Id="rId48" Type="http://schemas.openxmlformats.org/officeDocument/2006/relationships/hyperlink" Target="https://drive.google.com/open?id=1b5AfT_ENCOD8CTDJj8uePNEtUxkfKuR9" TargetMode="External"/><Relationship Id="rId47" Type="http://schemas.openxmlformats.org/officeDocument/2006/relationships/hyperlink" Target="https://drive.google.com/open?id=1b5AfT_ENCOD8CTDJj8uePNEtUxkfKuR9" TargetMode="External"/><Relationship Id="rId49" Type="http://schemas.openxmlformats.org/officeDocument/2006/relationships/hyperlink" Target="https://drive.google.com/open?id=1b5AfT_ENCOD8CTDJj8uePNEtUxkfKuR9" TargetMode="External"/><Relationship Id="rId5" Type="http://schemas.openxmlformats.org/officeDocument/2006/relationships/hyperlink" Target="https://drive.google.com/open?id=1yjleh5xEOvOYdtcju2BKhHw27MTPAJIp" TargetMode="External"/><Relationship Id="rId6" Type="http://schemas.openxmlformats.org/officeDocument/2006/relationships/hyperlink" Target="https://drive.google.com/open?id=1yjleh5xEOvOYdtcju2BKhHw27MTPAJIp" TargetMode="External"/><Relationship Id="rId7" Type="http://schemas.openxmlformats.org/officeDocument/2006/relationships/hyperlink" Target="https://drive.google.com/open?id=1yjleh5xEOvOYdtcju2BKhHw27MTPAJIp" TargetMode="External"/><Relationship Id="rId8" Type="http://schemas.openxmlformats.org/officeDocument/2006/relationships/hyperlink" Target="https://drive.google.com/open?id=1yjleh5xEOvOYdtcju2BKhHw27MTPAJIp" TargetMode="External"/><Relationship Id="rId73" Type="http://schemas.openxmlformats.org/officeDocument/2006/relationships/hyperlink" Target="https://drive.google.com/open?id=1Jsz38-uSh49rtpKhVFEbAgZTbnv1rKqS" TargetMode="External"/><Relationship Id="rId72" Type="http://schemas.openxmlformats.org/officeDocument/2006/relationships/hyperlink" Target="https://drive.google.com/open?id=1kBqkKdHBuwzQ9H-hEdRVTuLmMtQSt7_5" TargetMode="External"/><Relationship Id="rId31" Type="http://schemas.openxmlformats.org/officeDocument/2006/relationships/hyperlink" Target="https://drive.google.com/open?id=1yjleh5xEOvOYdtcju2BKhHw27MTPAJIp" TargetMode="External"/><Relationship Id="rId75" Type="http://schemas.openxmlformats.org/officeDocument/2006/relationships/hyperlink" Target="https://drive.google.com/open?id=1Jsz38-uSh49rtpKhVFEbAgZTbnv1rKqS" TargetMode="External"/><Relationship Id="rId30" Type="http://schemas.openxmlformats.org/officeDocument/2006/relationships/hyperlink" Target="https://drive.google.com/open?id=1yjleh5xEOvOYdtcju2BKhHw27MTPAJIp" TargetMode="External"/><Relationship Id="rId74" Type="http://schemas.openxmlformats.org/officeDocument/2006/relationships/hyperlink" Target="https://drive.google.com/open?id=1Nj8TzoKrGCxojXpIbzBYnAkQ_p9uPuZp" TargetMode="External"/><Relationship Id="rId33" Type="http://schemas.openxmlformats.org/officeDocument/2006/relationships/hyperlink" Target="https://drive.google.com/open?id=1b5AfT_ENCOD8CTDJj8uePNEtUxkfKuR9" TargetMode="External"/><Relationship Id="rId77" Type="http://schemas.openxmlformats.org/officeDocument/2006/relationships/hyperlink" Target="https://drive.google.com/open?id=1Jsz38-uSh49rtpKhVFEbAgZTbnv1rKqS" TargetMode="External"/><Relationship Id="rId32" Type="http://schemas.openxmlformats.org/officeDocument/2006/relationships/hyperlink" Target="https://drive.google.com/open?id=1yjleh5xEOvOYdtcju2BKhHw27MTPAJIp" TargetMode="External"/><Relationship Id="rId76" Type="http://schemas.openxmlformats.org/officeDocument/2006/relationships/hyperlink" Target="https://drive.google.com/open?id=1bDDyRmIoS6FOB5_UtO-YInaOesmnJlRs" TargetMode="External"/><Relationship Id="rId35" Type="http://schemas.openxmlformats.org/officeDocument/2006/relationships/hyperlink" Target="https://drive.google.com/open?id=1b5AfT_ENCOD8CTDJj8uePNEtUxkfKuR9" TargetMode="External"/><Relationship Id="rId79" Type="http://schemas.openxmlformats.org/officeDocument/2006/relationships/hyperlink" Target="https://drive.google.com/open?id=1MfhEox-g_HAp78IIoc8eW0-XRhUgApRA" TargetMode="External"/><Relationship Id="rId34" Type="http://schemas.openxmlformats.org/officeDocument/2006/relationships/hyperlink" Target="https://drive.google.com/open?id=1b5AfT_ENCOD8CTDJj8uePNEtUxkfKuR9" TargetMode="External"/><Relationship Id="rId78" Type="http://schemas.openxmlformats.org/officeDocument/2006/relationships/hyperlink" Target="https://drive.google.com/open?id=1MfhEox-g_HAp78IIoc8eW0-XRhUgApRA" TargetMode="External"/><Relationship Id="rId71" Type="http://schemas.openxmlformats.org/officeDocument/2006/relationships/hyperlink" Target="https://drive.google.com/open?id=1b5AfT_ENCOD8CTDJj8uePNEtUxkfKuR9" TargetMode="External"/><Relationship Id="rId70" Type="http://schemas.openxmlformats.org/officeDocument/2006/relationships/hyperlink" Target="https://drive.google.com/open?id=12ln0g8rANckFGp0A0NXOoThIRlL7Fnwl" TargetMode="External"/><Relationship Id="rId37" Type="http://schemas.openxmlformats.org/officeDocument/2006/relationships/hyperlink" Target="https://drive.google.com/open?id=1b5AfT_ENCOD8CTDJj8uePNEtUxkfKuR9" TargetMode="External"/><Relationship Id="rId36" Type="http://schemas.openxmlformats.org/officeDocument/2006/relationships/hyperlink" Target="https://drive.google.com/open?id=1b5AfT_ENCOD8CTDJj8uePNEtUxkfKuR9" TargetMode="External"/><Relationship Id="rId39" Type="http://schemas.openxmlformats.org/officeDocument/2006/relationships/hyperlink" Target="https://drive.google.com/open?id=1b5AfT_ENCOD8CTDJj8uePNEtUxkfKuR9" TargetMode="External"/><Relationship Id="rId38" Type="http://schemas.openxmlformats.org/officeDocument/2006/relationships/hyperlink" Target="https://drive.google.com/open?id=1b5AfT_ENCOD8CTDJj8uePNEtUxkfKuR9" TargetMode="External"/><Relationship Id="rId62" Type="http://schemas.openxmlformats.org/officeDocument/2006/relationships/hyperlink" Target="https://drive.google.com/open?id=1b5AfT_ENCOD8CTDJj8uePNEtUxkfKuR9" TargetMode="External"/><Relationship Id="rId61" Type="http://schemas.openxmlformats.org/officeDocument/2006/relationships/hyperlink" Target="https://drive.google.com/open?id=1b5AfT_ENCOD8CTDJj8uePNEtUxkfKuR9" TargetMode="External"/><Relationship Id="rId20" Type="http://schemas.openxmlformats.org/officeDocument/2006/relationships/hyperlink" Target="https://drive.google.com/open?id=1yjleh5xEOvOYdtcju2BKhHw27MTPAJIp" TargetMode="External"/><Relationship Id="rId64" Type="http://schemas.openxmlformats.org/officeDocument/2006/relationships/hyperlink" Target="https://drive.google.com/open?id=1Jsz38-uSh49rtpKhVFEbAgZTbnv1rKqS" TargetMode="External"/><Relationship Id="rId63" Type="http://schemas.openxmlformats.org/officeDocument/2006/relationships/hyperlink" Target="https://drive.google.com/open?id=1Jsz38-uSh49rtpKhVFEbAgZTbnv1rKqS" TargetMode="External"/><Relationship Id="rId22" Type="http://schemas.openxmlformats.org/officeDocument/2006/relationships/hyperlink" Target="https://drive.google.com/open?id=1yjleh5xEOvOYdtcju2BKhHw27MTPAJIp" TargetMode="External"/><Relationship Id="rId66" Type="http://schemas.openxmlformats.org/officeDocument/2006/relationships/hyperlink" Target="https://drive.google.com/open?id=1Jsz38-uSh49rtpKhVFEbAgZTbnv1rKqS" TargetMode="External"/><Relationship Id="rId21" Type="http://schemas.openxmlformats.org/officeDocument/2006/relationships/hyperlink" Target="https://drive.google.com/open?id=1yjleh5xEOvOYdtcju2BKhHw27MTPAJIp" TargetMode="External"/><Relationship Id="rId65" Type="http://schemas.openxmlformats.org/officeDocument/2006/relationships/hyperlink" Target="https://drive.google.com/open?id=1Jsz38-uSh49rtpKhVFEbAgZTbnv1rKqS" TargetMode="External"/><Relationship Id="rId24" Type="http://schemas.openxmlformats.org/officeDocument/2006/relationships/hyperlink" Target="https://drive.google.com/open?id=1yjleh5xEOvOYdtcju2BKhHw27MTPAJIp" TargetMode="External"/><Relationship Id="rId68" Type="http://schemas.openxmlformats.org/officeDocument/2006/relationships/hyperlink" Target="https://drive.google.com/open?id=1Jsz38-uSh49rtpKhVFEbAgZTbnv1rKqS" TargetMode="External"/><Relationship Id="rId23" Type="http://schemas.openxmlformats.org/officeDocument/2006/relationships/hyperlink" Target="https://drive.google.com/open?id=1yjleh5xEOvOYdtcju2BKhHw27MTPAJIp" TargetMode="External"/><Relationship Id="rId67" Type="http://schemas.openxmlformats.org/officeDocument/2006/relationships/hyperlink" Target="https://drive.google.com/open?id=1Jsz38-uSh49rtpKhVFEbAgZTbnv1rKqS" TargetMode="External"/><Relationship Id="rId60" Type="http://schemas.openxmlformats.org/officeDocument/2006/relationships/hyperlink" Target="https://drive.google.com/open?id=1b5AfT_ENCOD8CTDJj8uePNEtUxkfKuR9" TargetMode="External"/><Relationship Id="rId26" Type="http://schemas.openxmlformats.org/officeDocument/2006/relationships/hyperlink" Target="https://drive.google.com/open?id=1yjleh5xEOvOYdtcju2BKhHw27MTPAJIp" TargetMode="External"/><Relationship Id="rId25" Type="http://schemas.openxmlformats.org/officeDocument/2006/relationships/hyperlink" Target="https://drive.google.com/open?id=1yjleh5xEOvOYdtcju2BKhHw27MTPAJIp" TargetMode="External"/><Relationship Id="rId69" Type="http://schemas.openxmlformats.org/officeDocument/2006/relationships/hyperlink" Target="https://drive.google.com/open?id=1Jsz38-uSh49rtpKhVFEbAgZTbnv1rKqS" TargetMode="External"/><Relationship Id="rId28" Type="http://schemas.openxmlformats.org/officeDocument/2006/relationships/hyperlink" Target="https://drive.google.com/open?id=1yjleh5xEOvOYdtcju2BKhHw27MTPAJIp" TargetMode="External"/><Relationship Id="rId27" Type="http://schemas.openxmlformats.org/officeDocument/2006/relationships/hyperlink" Target="https://drive.google.com/open?id=1yjleh5xEOvOYdtcju2BKhHw27MTPAJIp" TargetMode="External"/><Relationship Id="rId29" Type="http://schemas.openxmlformats.org/officeDocument/2006/relationships/hyperlink" Target="https://drive.google.com/open?id=1yjleh5xEOvOYdtcju2BKhHw27MTPAJIp" TargetMode="External"/><Relationship Id="rId51" Type="http://schemas.openxmlformats.org/officeDocument/2006/relationships/hyperlink" Target="https://drive.google.com/open?id=1b5AfT_ENCOD8CTDJj8uePNEtUxkfKuR9" TargetMode="External"/><Relationship Id="rId50" Type="http://schemas.openxmlformats.org/officeDocument/2006/relationships/hyperlink" Target="https://drive.google.com/open?id=1b5AfT_ENCOD8CTDJj8uePNEtUxkfKuR9" TargetMode="External"/><Relationship Id="rId53" Type="http://schemas.openxmlformats.org/officeDocument/2006/relationships/hyperlink" Target="https://drive.google.com/open?id=1b5AfT_ENCOD8CTDJj8uePNEtUxkfKuR9" TargetMode="External"/><Relationship Id="rId52" Type="http://schemas.openxmlformats.org/officeDocument/2006/relationships/hyperlink" Target="https://drive.google.com/open?id=1b5AfT_ENCOD8CTDJj8uePNEtUxkfKuR9" TargetMode="External"/><Relationship Id="rId11" Type="http://schemas.openxmlformats.org/officeDocument/2006/relationships/hyperlink" Target="https://drive.google.com/open?id=1yjleh5xEOvOYdtcju2BKhHw27MTPAJIp" TargetMode="External"/><Relationship Id="rId55" Type="http://schemas.openxmlformats.org/officeDocument/2006/relationships/hyperlink" Target="https://drive.google.com/open?id=1b5AfT_ENCOD8CTDJj8uePNEtUxkfKuR9" TargetMode="External"/><Relationship Id="rId10" Type="http://schemas.openxmlformats.org/officeDocument/2006/relationships/hyperlink" Target="https://drive.google.com/open?id=1yjleh5xEOvOYdtcju2BKhHw27MTPAJIp" TargetMode="External"/><Relationship Id="rId54" Type="http://schemas.openxmlformats.org/officeDocument/2006/relationships/hyperlink" Target="https://drive.google.com/open?id=1b5AfT_ENCOD8CTDJj8uePNEtUxkfKuR9" TargetMode="External"/><Relationship Id="rId13" Type="http://schemas.openxmlformats.org/officeDocument/2006/relationships/hyperlink" Target="https://drive.google.com/open?id=1yjleh5xEOvOYdtcju2BKhHw27MTPAJIp" TargetMode="External"/><Relationship Id="rId57" Type="http://schemas.openxmlformats.org/officeDocument/2006/relationships/hyperlink" Target="https://drive.google.com/open?id=1b5AfT_ENCOD8CTDJj8uePNEtUxkfKuR9" TargetMode="External"/><Relationship Id="rId12" Type="http://schemas.openxmlformats.org/officeDocument/2006/relationships/hyperlink" Target="https://drive.google.com/open?id=1yjleh5xEOvOYdtcju2BKhHw27MTPAJIp" TargetMode="External"/><Relationship Id="rId56" Type="http://schemas.openxmlformats.org/officeDocument/2006/relationships/hyperlink" Target="https://drive.google.com/open?id=1b5AfT_ENCOD8CTDJj8uePNEtUxkfKuR9" TargetMode="External"/><Relationship Id="rId15" Type="http://schemas.openxmlformats.org/officeDocument/2006/relationships/hyperlink" Target="https://drive.google.com/open?id=1yjleh5xEOvOYdtcju2BKhHw27MTPAJIp" TargetMode="External"/><Relationship Id="rId59" Type="http://schemas.openxmlformats.org/officeDocument/2006/relationships/hyperlink" Target="https://drive.google.com/open?id=1b5AfT_ENCOD8CTDJj8uePNEtUxkfKuR9" TargetMode="External"/><Relationship Id="rId14" Type="http://schemas.openxmlformats.org/officeDocument/2006/relationships/hyperlink" Target="https://drive.google.com/open?id=1yjleh5xEOvOYdtcju2BKhHw27MTPAJIp" TargetMode="External"/><Relationship Id="rId58" Type="http://schemas.openxmlformats.org/officeDocument/2006/relationships/hyperlink" Target="https://drive.google.com/open?id=1b5AfT_ENCOD8CTDJj8uePNEtUxkfKuR9" TargetMode="External"/><Relationship Id="rId17" Type="http://schemas.openxmlformats.org/officeDocument/2006/relationships/hyperlink" Target="https://drive.google.com/open?id=1yjleh5xEOvOYdtcju2BKhHw27MTPAJIp" TargetMode="External"/><Relationship Id="rId16" Type="http://schemas.openxmlformats.org/officeDocument/2006/relationships/hyperlink" Target="https://drive.google.com/open?id=1yjleh5xEOvOYdtcju2BKhHw27MTPAJIp" TargetMode="External"/><Relationship Id="rId19" Type="http://schemas.openxmlformats.org/officeDocument/2006/relationships/hyperlink" Target="https://drive.google.com/open?id=1yjleh5xEOvOYdtcju2BKhHw27MTPAJIp" TargetMode="External"/><Relationship Id="rId18" Type="http://schemas.openxmlformats.org/officeDocument/2006/relationships/hyperlink" Target="https://drive.google.com/open?id=1yjleh5xEOvOYdtcju2BKhHw27MTPAJIp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h3JRax3EH_v5HPnXL5e6oSZdD_ePCJys" TargetMode="External"/><Relationship Id="rId2" Type="http://schemas.openxmlformats.org/officeDocument/2006/relationships/hyperlink" Target="https://drive.google.com/open?id=1h3JRax3EH_v5HPnXL5e6oSZdD_ePCJys" TargetMode="External"/><Relationship Id="rId3" Type="http://schemas.openxmlformats.org/officeDocument/2006/relationships/hyperlink" Target="https://drive.google.com/open?id=1h3JRax3EH_v5HPnXL5e6oSZdD_ePCJys" TargetMode="External"/><Relationship Id="rId4" Type="http://schemas.openxmlformats.org/officeDocument/2006/relationships/hyperlink" Target="https://drive.google.com/open?id=1h3JRax3EH_v5HPnXL5e6oSZdD_ePCJys" TargetMode="External"/><Relationship Id="rId9" Type="http://schemas.openxmlformats.org/officeDocument/2006/relationships/hyperlink" Target="https://drive.google.com/open?id=1h3JRax3EH_v5HPnXL5e6oSZdD_ePCJys" TargetMode="External"/><Relationship Id="rId5" Type="http://schemas.openxmlformats.org/officeDocument/2006/relationships/hyperlink" Target="https://drive.google.com/open?id=1h3JRax3EH_v5HPnXL5e6oSZdD_ePCJys" TargetMode="External"/><Relationship Id="rId6" Type="http://schemas.openxmlformats.org/officeDocument/2006/relationships/hyperlink" Target="https://drive.google.com/open?id=1h3JRax3EH_v5HPnXL5e6oSZdD_ePCJys" TargetMode="External"/><Relationship Id="rId7" Type="http://schemas.openxmlformats.org/officeDocument/2006/relationships/hyperlink" Target="https://drive.google.com/open?id=1h3JRax3EH_v5HPnXL5e6oSZdD_ePCJys" TargetMode="External"/><Relationship Id="rId8" Type="http://schemas.openxmlformats.org/officeDocument/2006/relationships/hyperlink" Target="https://drive.google.com/open?id=1h3JRax3EH_v5HPnXL5e6oSZdD_ePCJys" TargetMode="External"/><Relationship Id="rId11" Type="http://schemas.openxmlformats.org/officeDocument/2006/relationships/hyperlink" Target="https://drive.google.com/open?id=1h3JRax3EH_v5HPnXL5e6oSZdD_ePCJys" TargetMode="External"/><Relationship Id="rId10" Type="http://schemas.openxmlformats.org/officeDocument/2006/relationships/hyperlink" Target="https://drive.google.com/open?id=1h3JRax3EH_v5HPnXL5e6oSZdD_ePCJys" TargetMode="External"/><Relationship Id="rId13" Type="http://schemas.openxmlformats.org/officeDocument/2006/relationships/hyperlink" Target="https://drive.google.com/open?id=1h3JRax3EH_v5HPnXL5e6oSZdD_ePCJys" TargetMode="External"/><Relationship Id="rId12" Type="http://schemas.openxmlformats.org/officeDocument/2006/relationships/hyperlink" Target="https://drive.google.com/open?id=1h3JRax3EH_v5HPnXL5e6oSZdD_ePCJys" TargetMode="External"/><Relationship Id="rId1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25"/>
    <col customWidth="1" min="4" max="4" width="19.13"/>
    <col customWidth="1" min="5" max="5" width="25.88"/>
    <col customWidth="1" min="6" max="6" width="27.13"/>
    <col customWidth="1" min="7" max="7" width="20.5"/>
    <col customWidth="1" min="8" max="9" width="26.38"/>
    <col customWidth="1" min="11" max="11" width="44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</row>
    <row r="2">
      <c r="A2" s="4">
        <v>2.0</v>
      </c>
      <c r="B2" s="4"/>
      <c r="C2" s="5" t="s">
        <v>11</v>
      </c>
      <c r="D2" s="3" t="s">
        <v>12</v>
      </c>
      <c r="E2" s="3" t="s">
        <v>13</v>
      </c>
      <c r="F2" s="3" t="s">
        <v>14</v>
      </c>
      <c r="G2" s="3"/>
      <c r="H2" s="3"/>
      <c r="I2" s="3">
        <v>5.0</v>
      </c>
      <c r="K2" s="3" t="s">
        <v>15</v>
      </c>
    </row>
    <row r="3">
      <c r="A3" s="4">
        <v>4.0</v>
      </c>
      <c r="B3" s="4"/>
      <c r="C3" s="5" t="s">
        <v>16</v>
      </c>
      <c r="D3" s="3" t="s">
        <v>12</v>
      </c>
      <c r="E3" s="3" t="s">
        <v>13</v>
      </c>
      <c r="F3" s="3" t="s">
        <v>17</v>
      </c>
      <c r="G3" s="3"/>
      <c r="H3" s="3"/>
      <c r="I3" s="3">
        <v>13.0</v>
      </c>
      <c r="J3" s="3" t="s">
        <v>18</v>
      </c>
      <c r="K3" s="3" t="s">
        <v>15</v>
      </c>
    </row>
    <row r="4">
      <c r="A4" s="4">
        <v>1.0</v>
      </c>
      <c r="B4" s="4"/>
      <c r="C4" s="5" t="s">
        <v>19</v>
      </c>
      <c r="D4" s="3" t="s">
        <v>20</v>
      </c>
      <c r="E4" s="3" t="s">
        <v>13</v>
      </c>
      <c r="F4" s="3" t="s">
        <v>21</v>
      </c>
      <c r="G4" s="3"/>
      <c r="H4" s="3"/>
      <c r="I4" s="3" t="s">
        <v>22</v>
      </c>
      <c r="J4" s="3" t="s">
        <v>23</v>
      </c>
      <c r="K4" s="3" t="s">
        <v>15</v>
      </c>
    </row>
    <row r="5">
      <c r="A5" s="4">
        <v>3.0</v>
      </c>
      <c r="B5" s="4"/>
      <c r="C5" s="5" t="s">
        <v>24</v>
      </c>
      <c r="D5" s="3" t="s">
        <v>20</v>
      </c>
      <c r="E5" s="3" t="s">
        <v>13</v>
      </c>
      <c r="F5" s="3" t="s">
        <v>25</v>
      </c>
      <c r="G5" s="3"/>
      <c r="H5" s="3"/>
      <c r="I5" s="3">
        <v>11.0</v>
      </c>
      <c r="J5" s="3" t="s">
        <v>26</v>
      </c>
      <c r="K5" s="3" t="s">
        <v>15</v>
      </c>
    </row>
    <row r="6">
      <c r="A6" s="3">
        <v>6.0</v>
      </c>
      <c r="B6" s="4"/>
      <c r="C6" s="5" t="s">
        <v>27</v>
      </c>
      <c r="D6" s="3" t="s">
        <v>20</v>
      </c>
      <c r="E6" s="3" t="s">
        <v>13</v>
      </c>
      <c r="F6" s="3" t="s">
        <v>28</v>
      </c>
      <c r="G6" s="3"/>
      <c r="H6" s="3"/>
      <c r="I6" s="3">
        <v>13.0</v>
      </c>
      <c r="J6" s="3" t="s">
        <v>29</v>
      </c>
      <c r="K6" s="3" t="s">
        <v>15</v>
      </c>
    </row>
    <row r="7">
      <c r="A7" s="3">
        <v>7.0</v>
      </c>
      <c r="B7" s="3"/>
      <c r="C7" s="6" t="s">
        <v>30</v>
      </c>
      <c r="D7" s="3" t="s">
        <v>20</v>
      </c>
      <c r="E7" s="3" t="s">
        <v>13</v>
      </c>
      <c r="F7" s="3" t="s">
        <v>31</v>
      </c>
      <c r="G7" s="3">
        <v>3400.0</v>
      </c>
      <c r="I7" s="3">
        <v>14.0</v>
      </c>
      <c r="J7" s="3" t="s">
        <v>32</v>
      </c>
      <c r="K7" s="3" t="s">
        <v>33</v>
      </c>
    </row>
    <row r="8">
      <c r="A8" s="3">
        <v>10.0</v>
      </c>
      <c r="B8" s="3"/>
      <c r="C8" s="6" t="s">
        <v>34</v>
      </c>
      <c r="D8" s="3" t="s">
        <v>20</v>
      </c>
      <c r="E8" s="3" t="s">
        <v>35</v>
      </c>
      <c r="F8" s="3" t="s">
        <v>36</v>
      </c>
      <c r="G8" s="3" t="s">
        <v>37</v>
      </c>
      <c r="I8" s="3">
        <v>15.0</v>
      </c>
      <c r="J8" s="3" t="s">
        <v>38</v>
      </c>
      <c r="K8" s="3" t="s">
        <v>33</v>
      </c>
    </row>
    <row r="9">
      <c r="A9" s="3">
        <v>12.0</v>
      </c>
      <c r="B9" s="3" t="s">
        <v>39</v>
      </c>
      <c r="C9" s="6" t="s">
        <v>40</v>
      </c>
      <c r="D9" s="3" t="s">
        <v>20</v>
      </c>
      <c r="E9" s="3" t="s">
        <v>13</v>
      </c>
      <c r="F9" s="3" t="s">
        <v>41</v>
      </c>
      <c r="I9" s="3">
        <v>8.0</v>
      </c>
      <c r="J9" s="3" t="s">
        <v>42</v>
      </c>
      <c r="K9" s="3" t="s">
        <v>33</v>
      </c>
    </row>
    <row r="10">
      <c r="A10" s="3">
        <v>14.0</v>
      </c>
      <c r="B10" s="3" t="s">
        <v>43</v>
      </c>
      <c r="C10" s="6" t="s">
        <v>44</v>
      </c>
      <c r="D10" s="3" t="s">
        <v>20</v>
      </c>
      <c r="E10" s="3" t="s">
        <v>13</v>
      </c>
      <c r="F10" s="3" t="s">
        <v>45</v>
      </c>
      <c r="G10" s="7">
        <v>25000.0</v>
      </c>
      <c r="H10" s="3" t="s">
        <v>18</v>
      </c>
      <c r="I10" s="3">
        <v>4.0</v>
      </c>
      <c r="J10" s="3" t="s">
        <v>46</v>
      </c>
      <c r="K10" s="3" t="s">
        <v>47</v>
      </c>
    </row>
    <row r="11">
      <c r="A11" s="3">
        <v>15.0</v>
      </c>
      <c r="B11" s="3" t="s">
        <v>48</v>
      </c>
      <c r="C11" s="6" t="s">
        <v>49</v>
      </c>
      <c r="D11" s="3" t="s">
        <v>20</v>
      </c>
      <c r="E11" s="3" t="s">
        <v>13</v>
      </c>
      <c r="F11" s="3" t="s">
        <v>50</v>
      </c>
      <c r="G11" s="3">
        <v>1878.0</v>
      </c>
      <c r="I11" s="3">
        <v>9.0</v>
      </c>
      <c r="J11" s="3" t="s">
        <v>51</v>
      </c>
    </row>
    <row r="12">
      <c r="A12" s="3">
        <v>16.0</v>
      </c>
      <c r="B12" s="3" t="s">
        <v>52</v>
      </c>
      <c r="C12" s="6" t="s">
        <v>53</v>
      </c>
      <c r="D12" s="3" t="s">
        <v>20</v>
      </c>
      <c r="E12" s="3" t="s">
        <v>13</v>
      </c>
      <c r="F12" s="3" t="s">
        <v>54</v>
      </c>
      <c r="G12" s="8"/>
      <c r="H12" s="8"/>
      <c r="I12" s="3">
        <v>3.0</v>
      </c>
      <c r="J12" s="3" t="s">
        <v>55</v>
      </c>
    </row>
    <row r="13">
      <c r="A13" s="3">
        <v>17.0</v>
      </c>
      <c r="B13" s="3" t="s">
        <v>56</v>
      </c>
      <c r="C13" s="6" t="s">
        <v>57</v>
      </c>
      <c r="D13" s="3" t="s">
        <v>20</v>
      </c>
      <c r="E13" s="3" t="s">
        <v>13</v>
      </c>
      <c r="F13" s="3" t="s">
        <v>58</v>
      </c>
      <c r="G13" s="8"/>
      <c r="H13" s="8"/>
      <c r="I13" s="8"/>
      <c r="J13" s="3" t="s">
        <v>59</v>
      </c>
    </row>
    <row r="14">
      <c r="A14" s="3">
        <v>18.0</v>
      </c>
      <c r="B14" s="3" t="s">
        <v>52</v>
      </c>
      <c r="C14" s="6" t="s">
        <v>60</v>
      </c>
      <c r="D14" s="3" t="s">
        <v>20</v>
      </c>
      <c r="E14" s="3" t="s">
        <v>13</v>
      </c>
      <c r="F14" s="3" t="s">
        <v>61</v>
      </c>
      <c r="G14" s="3">
        <v>1667.0</v>
      </c>
      <c r="H14" s="8"/>
      <c r="I14" s="3">
        <v>19.0</v>
      </c>
      <c r="J14" s="3" t="s">
        <v>55</v>
      </c>
    </row>
    <row r="15">
      <c r="A15" s="3">
        <v>19.0</v>
      </c>
      <c r="B15" s="3" t="s">
        <v>43</v>
      </c>
      <c r="C15" s="6" t="s">
        <v>62</v>
      </c>
      <c r="D15" s="3" t="s">
        <v>20</v>
      </c>
      <c r="E15" s="3" t="s">
        <v>13</v>
      </c>
      <c r="F15" s="3" t="s">
        <v>63</v>
      </c>
      <c r="G15" s="3">
        <v>777.0</v>
      </c>
      <c r="H15" s="3" t="s">
        <v>64</v>
      </c>
      <c r="I15" s="3">
        <v>1.0</v>
      </c>
      <c r="J15" s="3" t="s">
        <v>55</v>
      </c>
    </row>
    <row r="16">
      <c r="A16" s="3">
        <v>20.0</v>
      </c>
      <c r="B16" s="3" t="s">
        <v>43</v>
      </c>
      <c r="C16" s="6" t="s">
        <v>65</v>
      </c>
      <c r="D16" s="3" t="s">
        <v>20</v>
      </c>
      <c r="E16" s="3" t="s">
        <v>13</v>
      </c>
      <c r="F16" s="3" t="s">
        <v>66</v>
      </c>
      <c r="G16" s="7">
        <v>8991.0</v>
      </c>
      <c r="H16" s="3" t="s">
        <v>67</v>
      </c>
      <c r="I16" s="9">
        <f>18+24</f>
        <v>42</v>
      </c>
      <c r="J16" s="3" t="s">
        <v>32</v>
      </c>
    </row>
    <row r="17">
      <c r="A17" s="3">
        <v>22.0</v>
      </c>
      <c r="B17" s="3" t="s">
        <v>43</v>
      </c>
      <c r="C17" s="6" t="s">
        <v>68</v>
      </c>
      <c r="D17" s="3" t="s">
        <v>20</v>
      </c>
      <c r="E17" s="3" t="s">
        <v>13</v>
      </c>
      <c r="F17" s="3" t="s">
        <v>69</v>
      </c>
      <c r="G17" s="3">
        <v>1992.0</v>
      </c>
      <c r="H17" s="3" t="s">
        <v>67</v>
      </c>
      <c r="I17" s="3">
        <v>4.0</v>
      </c>
      <c r="K17" s="6" t="s">
        <v>70</v>
      </c>
    </row>
    <row r="18">
      <c r="A18" s="3">
        <v>23.0</v>
      </c>
      <c r="B18" s="3" t="s">
        <v>67</v>
      </c>
      <c r="C18" s="6" t="s">
        <v>71</v>
      </c>
      <c r="D18" s="3" t="s">
        <v>20</v>
      </c>
      <c r="E18" s="3" t="s">
        <v>13</v>
      </c>
      <c r="F18" s="10" t="s">
        <v>66</v>
      </c>
    </row>
    <row r="19">
      <c r="A19" s="3">
        <v>21.0</v>
      </c>
      <c r="B19" s="3" t="s">
        <v>43</v>
      </c>
      <c r="C19" s="6" t="s">
        <v>72</v>
      </c>
      <c r="D19" s="3" t="s">
        <v>73</v>
      </c>
      <c r="E19" s="3" t="s">
        <v>13</v>
      </c>
      <c r="F19" s="3" t="s">
        <v>74</v>
      </c>
      <c r="G19" s="7">
        <v>30000.0</v>
      </c>
      <c r="H19" s="3" t="s">
        <v>67</v>
      </c>
      <c r="I19" s="3">
        <v>24.0</v>
      </c>
      <c r="J19" s="3" t="s">
        <v>75</v>
      </c>
      <c r="K19" s="3" t="s">
        <v>15</v>
      </c>
    </row>
    <row r="20">
      <c r="A20" s="3">
        <v>9.0</v>
      </c>
      <c r="B20" s="3"/>
      <c r="C20" s="6" t="s">
        <v>76</v>
      </c>
      <c r="D20" s="3" t="s">
        <v>77</v>
      </c>
      <c r="E20" s="3" t="s">
        <v>78</v>
      </c>
      <c r="F20" s="3" t="s">
        <v>79</v>
      </c>
      <c r="I20" s="3">
        <v>3.0</v>
      </c>
      <c r="J20" s="3" t="s">
        <v>80</v>
      </c>
      <c r="K20" s="3" t="s">
        <v>33</v>
      </c>
    </row>
    <row r="21">
      <c r="A21" s="3">
        <v>8.0</v>
      </c>
      <c r="B21" s="3"/>
      <c r="C21" s="6" t="s">
        <v>81</v>
      </c>
      <c r="D21" s="3" t="s">
        <v>82</v>
      </c>
      <c r="E21" s="3" t="s">
        <v>78</v>
      </c>
      <c r="F21" s="3" t="s">
        <v>83</v>
      </c>
      <c r="G21" s="3">
        <v>250.0</v>
      </c>
      <c r="I21" s="3">
        <v>8.0</v>
      </c>
      <c r="J21" s="3" t="s">
        <v>84</v>
      </c>
      <c r="K21" s="3" t="s">
        <v>33</v>
      </c>
    </row>
    <row r="22">
      <c r="A22" s="3">
        <v>11.0</v>
      </c>
      <c r="B22" s="3"/>
      <c r="C22" s="6" t="s">
        <v>85</v>
      </c>
      <c r="D22" s="3" t="s">
        <v>82</v>
      </c>
      <c r="E22" s="3" t="s">
        <v>78</v>
      </c>
      <c r="F22" s="3" t="s">
        <v>86</v>
      </c>
      <c r="G22" s="7">
        <v>11700.0</v>
      </c>
      <c r="I22" s="3">
        <v>5.0</v>
      </c>
      <c r="J22" s="3" t="s">
        <v>32</v>
      </c>
      <c r="K22" s="3" t="s">
        <v>33</v>
      </c>
    </row>
    <row r="23">
      <c r="A23" s="4">
        <v>5.0</v>
      </c>
      <c r="B23" s="4"/>
      <c r="C23" s="5" t="s">
        <v>87</v>
      </c>
      <c r="D23" s="3" t="s">
        <v>88</v>
      </c>
      <c r="E23" s="3" t="s">
        <v>78</v>
      </c>
      <c r="F23" s="3" t="s">
        <v>89</v>
      </c>
      <c r="G23" s="3"/>
      <c r="H23" s="3"/>
      <c r="I23" s="3">
        <v>11.0</v>
      </c>
      <c r="J23" s="3" t="s">
        <v>90</v>
      </c>
      <c r="K23" s="3" t="s">
        <v>15</v>
      </c>
    </row>
    <row r="24">
      <c r="A24" s="3">
        <v>13.0</v>
      </c>
      <c r="B24" s="3"/>
      <c r="C24" s="6" t="s">
        <v>91</v>
      </c>
      <c r="D24" s="3" t="s">
        <v>92</v>
      </c>
      <c r="E24" s="3" t="s">
        <v>93</v>
      </c>
      <c r="F24" s="3" t="s">
        <v>94</v>
      </c>
      <c r="J24" s="3" t="s">
        <v>95</v>
      </c>
      <c r="K24" s="3" t="s">
        <v>33</v>
      </c>
    </row>
  </sheetData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K17"/>
    <hyperlink r:id="rId19" ref="C18"/>
    <hyperlink r:id="rId20" ref="C19"/>
    <hyperlink r:id="rId21" ref="C20"/>
    <hyperlink r:id="rId22" ref="C21"/>
    <hyperlink r:id="rId23" ref="C22"/>
    <hyperlink r:id="rId24" ref="C23"/>
    <hyperlink r:id="rId25" ref="C24"/>
  </hyperlinks>
  <drawing r:id="rId26"/>
  <legacy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3" max="3" width="14.88"/>
    <col customWidth="1" min="4" max="6" width="14.75"/>
    <col customWidth="1" min="7" max="7" width="14.25"/>
    <col customWidth="1" min="8" max="8" width="14.0"/>
    <col customWidth="1" min="9" max="9" width="25.0"/>
    <col customWidth="1" min="10" max="10" width="14.0"/>
    <col customWidth="1" min="11" max="11" width="16.5"/>
    <col customWidth="1" min="13" max="13" width="16.75"/>
  </cols>
  <sheetData>
    <row r="1">
      <c r="A1" s="11" t="s">
        <v>96</v>
      </c>
      <c r="B1" s="11" t="s">
        <v>97</v>
      </c>
      <c r="C1" s="12" t="s">
        <v>98</v>
      </c>
      <c r="D1" s="12" t="s">
        <v>99</v>
      </c>
      <c r="E1" s="12" t="s">
        <v>100</v>
      </c>
      <c r="F1" s="11" t="s">
        <v>101</v>
      </c>
      <c r="G1" s="11" t="s">
        <v>102</v>
      </c>
      <c r="H1" s="3" t="s">
        <v>103</v>
      </c>
      <c r="I1" s="3" t="s">
        <v>104</v>
      </c>
      <c r="J1" s="3" t="s">
        <v>105</v>
      </c>
      <c r="K1" s="3" t="s">
        <v>106</v>
      </c>
      <c r="L1" s="3" t="s">
        <v>107</v>
      </c>
      <c r="M1" s="3" t="s">
        <v>108</v>
      </c>
      <c r="N1" s="3" t="s">
        <v>9</v>
      </c>
    </row>
    <row r="2">
      <c r="A2" s="5" t="s">
        <v>19</v>
      </c>
      <c r="B2" s="3" t="s">
        <v>20</v>
      </c>
      <c r="D2" s="13"/>
      <c r="E2" s="13"/>
      <c r="F2" s="13">
        <v>45821.0</v>
      </c>
      <c r="G2" s="3">
        <v>9.8</v>
      </c>
    </row>
    <row r="3">
      <c r="A3" s="14" t="s">
        <v>109</v>
      </c>
      <c r="B3" s="3" t="s">
        <v>20</v>
      </c>
      <c r="C3" s="3" t="s">
        <v>110</v>
      </c>
      <c r="D3" s="3" t="s">
        <v>111</v>
      </c>
      <c r="E3" s="3" t="s">
        <v>112</v>
      </c>
      <c r="F3" s="13"/>
      <c r="G3" s="15">
        <v>4.0</v>
      </c>
      <c r="H3" s="3"/>
      <c r="I3" s="3"/>
      <c r="J3" s="3">
        <v>330.0</v>
      </c>
      <c r="K3" s="3" t="s">
        <v>113</v>
      </c>
      <c r="L3" s="3">
        <v>0.5</v>
      </c>
      <c r="M3" s="3" t="s">
        <v>114</v>
      </c>
    </row>
    <row r="4">
      <c r="A4" s="14" t="s">
        <v>109</v>
      </c>
      <c r="B4" s="3" t="s">
        <v>20</v>
      </c>
      <c r="C4" s="3" t="s">
        <v>110</v>
      </c>
      <c r="D4" s="3" t="s">
        <v>115</v>
      </c>
      <c r="E4" s="3" t="s">
        <v>112</v>
      </c>
      <c r="F4" s="13"/>
      <c r="G4" s="15">
        <v>6.0</v>
      </c>
      <c r="H4" s="3"/>
      <c r="I4" s="3"/>
      <c r="J4" s="3">
        <v>330.0</v>
      </c>
      <c r="K4" s="3" t="s">
        <v>113</v>
      </c>
      <c r="L4" s="3">
        <v>1.5</v>
      </c>
      <c r="M4" s="3" t="s">
        <v>114</v>
      </c>
    </row>
    <row r="5">
      <c r="A5" s="14" t="s">
        <v>109</v>
      </c>
      <c r="B5" s="3" t="s">
        <v>20</v>
      </c>
      <c r="C5" s="3" t="s">
        <v>110</v>
      </c>
      <c r="D5" s="3" t="s">
        <v>116</v>
      </c>
      <c r="E5" s="3" t="s">
        <v>112</v>
      </c>
      <c r="G5" s="15">
        <v>3.0</v>
      </c>
      <c r="H5" s="3"/>
      <c r="I5" s="3"/>
      <c r="J5" s="3">
        <v>330.0</v>
      </c>
      <c r="K5" s="3" t="s">
        <v>113</v>
      </c>
      <c r="L5" s="3">
        <v>1.0</v>
      </c>
      <c r="M5" s="3" t="s">
        <v>114</v>
      </c>
    </row>
    <row r="6">
      <c r="A6" s="14" t="s">
        <v>109</v>
      </c>
      <c r="B6" s="3" t="s">
        <v>20</v>
      </c>
      <c r="C6" s="3" t="s">
        <v>117</v>
      </c>
      <c r="D6" s="3" t="s">
        <v>118</v>
      </c>
      <c r="E6" s="3" t="s">
        <v>112</v>
      </c>
      <c r="F6" s="13"/>
      <c r="G6" s="15">
        <v>2.0</v>
      </c>
      <c r="H6" s="3"/>
      <c r="I6" s="3"/>
      <c r="J6" s="3">
        <v>283.0</v>
      </c>
      <c r="K6" s="3" t="s">
        <v>113</v>
      </c>
      <c r="M6" s="3" t="s">
        <v>114</v>
      </c>
    </row>
    <row r="7">
      <c r="A7" s="14" t="s">
        <v>109</v>
      </c>
      <c r="B7" s="3" t="s">
        <v>20</v>
      </c>
      <c r="C7" s="3" t="s">
        <v>117</v>
      </c>
      <c r="D7" s="3" t="s">
        <v>115</v>
      </c>
      <c r="E7" s="3" t="s">
        <v>112</v>
      </c>
      <c r="F7" s="13"/>
      <c r="G7" s="15">
        <v>2.0</v>
      </c>
      <c r="H7" s="3"/>
      <c r="I7" s="3"/>
      <c r="J7" s="3">
        <v>283.0</v>
      </c>
      <c r="K7" s="3" t="s">
        <v>113</v>
      </c>
      <c r="L7" s="3">
        <v>3.7</v>
      </c>
      <c r="M7" s="3" t="s">
        <v>114</v>
      </c>
    </row>
    <row r="8">
      <c r="A8" s="14" t="s">
        <v>109</v>
      </c>
      <c r="B8" s="3" t="s">
        <v>20</v>
      </c>
      <c r="C8" s="3" t="s">
        <v>117</v>
      </c>
      <c r="D8" s="3" t="s">
        <v>116</v>
      </c>
      <c r="E8" s="3" t="s">
        <v>112</v>
      </c>
      <c r="G8" s="15">
        <v>2.0</v>
      </c>
      <c r="H8" s="3"/>
      <c r="I8" s="3"/>
      <c r="J8" s="3">
        <v>283.0</v>
      </c>
      <c r="K8" s="3" t="s">
        <v>113</v>
      </c>
      <c r="L8" s="3">
        <v>1.0</v>
      </c>
      <c r="M8" s="3" t="s">
        <v>114</v>
      </c>
    </row>
    <row r="9">
      <c r="A9" s="14" t="s">
        <v>109</v>
      </c>
      <c r="B9" s="3" t="s">
        <v>20</v>
      </c>
      <c r="C9" s="3" t="s">
        <v>117</v>
      </c>
      <c r="D9" s="3" t="s">
        <v>119</v>
      </c>
      <c r="E9" s="3" t="s">
        <v>112</v>
      </c>
      <c r="F9" s="13"/>
      <c r="G9" s="15" t="s">
        <v>120</v>
      </c>
      <c r="H9" s="3"/>
      <c r="I9" s="3"/>
      <c r="J9" s="3">
        <v>283.0</v>
      </c>
      <c r="K9" s="3" t="s">
        <v>113</v>
      </c>
      <c r="M9" s="3" t="s">
        <v>114</v>
      </c>
    </row>
    <row r="10">
      <c r="A10" s="14" t="s">
        <v>109</v>
      </c>
      <c r="B10" s="3" t="s">
        <v>20</v>
      </c>
      <c r="C10" s="3" t="s">
        <v>121</v>
      </c>
      <c r="D10" s="3" t="s">
        <v>111</v>
      </c>
      <c r="E10" s="3" t="s">
        <v>112</v>
      </c>
      <c r="F10" s="13"/>
      <c r="G10" s="15">
        <v>3.0</v>
      </c>
      <c r="H10" s="3"/>
      <c r="I10" s="3"/>
      <c r="J10" s="3">
        <v>555.0</v>
      </c>
      <c r="K10" s="3" t="s">
        <v>113</v>
      </c>
      <c r="M10" s="3" t="s">
        <v>114</v>
      </c>
    </row>
    <row r="11">
      <c r="A11" s="14" t="s">
        <v>109</v>
      </c>
      <c r="B11" s="3" t="s">
        <v>20</v>
      </c>
      <c r="C11" s="3" t="s">
        <v>121</v>
      </c>
      <c r="D11" s="3" t="s">
        <v>118</v>
      </c>
      <c r="E11" s="3" t="s">
        <v>112</v>
      </c>
      <c r="G11" s="15">
        <v>3.0</v>
      </c>
      <c r="H11" s="3"/>
      <c r="I11" s="3"/>
      <c r="J11" s="3">
        <v>555.0</v>
      </c>
      <c r="K11" s="3" t="s">
        <v>113</v>
      </c>
      <c r="L11" s="3">
        <v>1.6</v>
      </c>
      <c r="M11" s="3" t="s">
        <v>114</v>
      </c>
    </row>
    <row r="12">
      <c r="A12" s="14" t="s">
        <v>109</v>
      </c>
      <c r="B12" s="3" t="s">
        <v>20</v>
      </c>
      <c r="C12" s="3" t="s">
        <v>121</v>
      </c>
      <c r="D12" s="3" t="s">
        <v>115</v>
      </c>
      <c r="E12" s="3" t="s">
        <v>112</v>
      </c>
      <c r="G12" s="15">
        <v>3.0</v>
      </c>
      <c r="H12" s="3"/>
      <c r="I12" s="3"/>
      <c r="J12" s="3">
        <v>555.0</v>
      </c>
      <c r="K12" s="3" t="s">
        <v>113</v>
      </c>
      <c r="L12" s="3">
        <v>1.3</v>
      </c>
      <c r="M12" s="3" t="s">
        <v>114</v>
      </c>
    </row>
    <row r="13">
      <c r="A13" s="14" t="s">
        <v>109</v>
      </c>
      <c r="B13" s="3" t="s">
        <v>20</v>
      </c>
      <c r="C13" s="3" t="s">
        <v>122</v>
      </c>
      <c r="D13" s="3" t="s">
        <v>115</v>
      </c>
      <c r="E13" s="3" t="s">
        <v>112</v>
      </c>
      <c r="G13" s="15">
        <v>2.0</v>
      </c>
      <c r="H13" s="3"/>
      <c r="I13" s="3"/>
      <c r="J13" s="3">
        <v>195.0</v>
      </c>
      <c r="K13" s="3" t="s">
        <v>113</v>
      </c>
      <c r="L13" s="3">
        <v>4.5</v>
      </c>
      <c r="M13" s="3" t="s">
        <v>114</v>
      </c>
    </row>
    <row r="14">
      <c r="A14" s="14" t="s">
        <v>109</v>
      </c>
      <c r="B14" s="3" t="s">
        <v>20</v>
      </c>
      <c r="C14" s="3" t="s">
        <v>122</v>
      </c>
      <c r="D14" s="3" t="s">
        <v>116</v>
      </c>
      <c r="E14" s="3" t="s">
        <v>112</v>
      </c>
      <c r="G14" s="15">
        <v>3.0</v>
      </c>
      <c r="H14" s="3"/>
      <c r="I14" s="3"/>
      <c r="J14" s="3">
        <v>195.0</v>
      </c>
      <c r="K14" s="3" t="s">
        <v>113</v>
      </c>
      <c r="L14" s="3">
        <v>3.1</v>
      </c>
      <c r="M14" s="3" t="s">
        <v>114</v>
      </c>
    </row>
    <row r="15">
      <c r="A15" s="14" t="s">
        <v>109</v>
      </c>
      <c r="B15" s="3" t="s">
        <v>20</v>
      </c>
      <c r="C15" s="3" t="s">
        <v>122</v>
      </c>
      <c r="D15" s="3" t="s">
        <v>119</v>
      </c>
      <c r="E15" s="3" t="s">
        <v>112</v>
      </c>
      <c r="G15" s="15" t="s">
        <v>120</v>
      </c>
      <c r="H15" s="3"/>
      <c r="I15" s="3"/>
      <c r="J15" s="3">
        <v>195.0</v>
      </c>
      <c r="K15" s="3" t="s">
        <v>113</v>
      </c>
      <c r="M15" s="3" t="s">
        <v>114</v>
      </c>
    </row>
    <row r="16">
      <c r="A16" s="14" t="s">
        <v>109</v>
      </c>
      <c r="B16" s="3" t="s">
        <v>20</v>
      </c>
      <c r="C16" s="3" t="s">
        <v>123</v>
      </c>
      <c r="D16" s="3" t="s">
        <v>115</v>
      </c>
      <c r="E16" s="3" t="s">
        <v>112</v>
      </c>
      <c r="G16" s="15">
        <v>6.0</v>
      </c>
      <c r="H16" s="3"/>
      <c r="I16" s="3"/>
      <c r="J16" s="3">
        <v>250.0</v>
      </c>
      <c r="K16" s="3" t="s">
        <v>113</v>
      </c>
      <c r="L16" s="3">
        <v>1.2</v>
      </c>
      <c r="M16" s="3" t="s">
        <v>114</v>
      </c>
    </row>
    <row r="17">
      <c r="A17" s="14" t="s">
        <v>109</v>
      </c>
      <c r="B17" s="3" t="s">
        <v>20</v>
      </c>
      <c r="C17" s="3" t="s">
        <v>123</v>
      </c>
      <c r="D17" s="3" t="s">
        <v>116</v>
      </c>
      <c r="E17" s="3" t="s">
        <v>112</v>
      </c>
      <c r="G17" s="15">
        <v>6.0</v>
      </c>
      <c r="H17" s="3"/>
      <c r="I17" s="3"/>
      <c r="J17" s="3">
        <v>250.0</v>
      </c>
      <c r="K17" s="3" t="s">
        <v>113</v>
      </c>
      <c r="L17" s="3">
        <v>2.3</v>
      </c>
      <c r="M17" s="3" t="s">
        <v>114</v>
      </c>
    </row>
    <row r="18">
      <c r="A18" s="14" t="s">
        <v>109</v>
      </c>
      <c r="B18" s="3" t="s">
        <v>20</v>
      </c>
      <c r="C18" s="3" t="s">
        <v>124</v>
      </c>
      <c r="D18" s="3" t="s">
        <v>115</v>
      </c>
      <c r="E18" s="3" t="s">
        <v>112</v>
      </c>
      <c r="G18" s="15">
        <v>5.0</v>
      </c>
      <c r="H18" s="3"/>
      <c r="I18" s="3"/>
      <c r="J18" s="3">
        <v>410.0</v>
      </c>
      <c r="K18" s="3" t="s">
        <v>113</v>
      </c>
      <c r="L18" s="3">
        <v>2.0</v>
      </c>
      <c r="M18" s="3" t="s">
        <v>114</v>
      </c>
    </row>
    <row r="19">
      <c r="A19" s="14" t="s">
        <v>109</v>
      </c>
      <c r="B19" s="3" t="s">
        <v>20</v>
      </c>
      <c r="C19" s="3" t="s">
        <v>124</v>
      </c>
      <c r="D19" s="3" t="s">
        <v>116</v>
      </c>
      <c r="E19" s="3" t="s">
        <v>112</v>
      </c>
      <c r="G19" s="15">
        <v>7.0</v>
      </c>
      <c r="H19" s="3"/>
      <c r="I19" s="3"/>
      <c r="J19" s="3">
        <v>410.0</v>
      </c>
      <c r="K19" s="3" t="s">
        <v>113</v>
      </c>
      <c r="L19" s="3">
        <v>0.9</v>
      </c>
      <c r="M19" s="3" t="s">
        <v>114</v>
      </c>
    </row>
    <row r="20">
      <c r="A20" s="14" t="s">
        <v>109</v>
      </c>
      <c r="B20" s="3" t="s">
        <v>20</v>
      </c>
      <c r="C20" s="3" t="s">
        <v>125</v>
      </c>
      <c r="D20" s="3" t="s">
        <v>116</v>
      </c>
      <c r="E20" s="3" t="s">
        <v>112</v>
      </c>
      <c r="G20" s="15">
        <v>4.0</v>
      </c>
      <c r="H20" s="3"/>
      <c r="I20" s="3"/>
      <c r="J20" s="3">
        <v>210.0</v>
      </c>
      <c r="K20" s="3" t="s">
        <v>113</v>
      </c>
      <c r="L20" s="3">
        <v>3.3</v>
      </c>
      <c r="M20" s="3" t="s">
        <v>114</v>
      </c>
    </row>
    <row r="21">
      <c r="A21" s="14" t="s">
        <v>109</v>
      </c>
      <c r="B21" s="3" t="s">
        <v>20</v>
      </c>
      <c r="C21" s="3" t="s">
        <v>125</v>
      </c>
      <c r="D21" s="3" t="s">
        <v>119</v>
      </c>
      <c r="E21" s="3" t="s">
        <v>112</v>
      </c>
      <c r="G21" s="15">
        <v>6.0</v>
      </c>
      <c r="H21" s="3"/>
      <c r="I21" s="3"/>
      <c r="J21" s="3">
        <v>210.0</v>
      </c>
      <c r="K21" s="3" t="s">
        <v>113</v>
      </c>
      <c r="L21" s="3">
        <v>5.0</v>
      </c>
      <c r="M21" s="3" t="s">
        <v>114</v>
      </c>
    </row>
    <row r="22">
      <c r="A22" s="14" t="s">
        <v>109</v>
      </c>
      <c r="B22" s="3" t="s">
        <v>20</v>
      </c>
      <c r="C22" s="3" t="s">
        <v>126</v>
      </c>
      <c r="D22" s="3" t="s">
        <v>116</v>
      </c>
      <c r="E22" s="3" t="s">
        <v>112</v>
      </c>
      <c r="G22" s="15">
        <v>7.0</v>
      </c>
      <c r="H22" s="3"/>
      <c r="I22" s="3"/>
      <c r="J22" s="3">
        <v>520.0</v>
      </c>
      <c r="K22" s="3" t="s">
        <v>113</v>
      </c>
      <c r="L22" s="3">
        <v>0.9</v>
      </c>
      <c r="M22" s="3" t="s">
        <v>114</v>
      </c>
    </row>
    <row r="23">
      <c r="A23" s="14" t="s">
        <v>109</v>
      </c>
      <c r="B23" s="3" t="s">
        <v>20</v>
      </c>
      <c r="C23" s="3" t="s">
        <v>126</v>
      </c>
      <c r="D23" s="3" t="s">
        <v>119</v>
      </c>
      <c r="E23" s="3" t="s">
        <v>112</v>
      </c>
      <c r="G23" s="15" t="s">
        <v>120</v>
      </c>
      <c r="H23" s="3"/>
      <c r="I23" s="3"/>
      <c r="J23" s="3">
        <v>520.0</v>
      </c>
      <c r="K23" s="3" t="s">
        <v>113</v>
      </c>
      <c r="M23" s="3" t="s">
        <v>114</v>
      </c>
    </row>
    <row r="24">
      <c r="A24" s="14" t="s">
        <v>109</v>
      </c>
      <c r="B24" s="3" t="s">
        <v>20</v>
      </c>
      <c r="C24" s="3" t="s">
        <v>127</v>
      </c>
      <c r="D24" s="3" t="s">
        <v>116</v>
      </c>
      <c r="E24" s="3" t="s">
        <v>112</v>
      </c>
      <c r="G24" s="15">
        <v>3.0</v>
      </c>
      <c r="H24" s="3"/>
      <c r="I24" s="3"/>
      <c r="J24" s="3">
        <v>67.0</v>
      </c>
      <c r="K24" s="3" t="s">
        <v>113</v>
      </c>
      <c r="M24" s="3" t="s">
        <v>114</v>
      </c>
    </row>
    <row r="25">
      <c r="A25" s="14" t="s">
        <v>109</v>
      </c>
      <c r="B25" s="3" t="s">
        <v>20</v>
      </c>
      <c r="C25" s="3" t="s">
        <v>128</v>
      </c>
      <c r="D25" s="3" t="s">
        <v>116</v>
      </c>
      <c r="E25" s="3" t="s">
        <v>112</v>
      </c>
      <c r="G25" s="15">
        <v>2.0</v>
      </c>
      <c r="H25" s="3"/>
      <c r="I25" s="3"/>
      <c r="J25" s="3">
        <v>130.0</v>
      </c>
      <c r="K25" s="3" t="s">
        <v>113</v>
      </c>
      <c r="L25" s="3">
        <v>6.8</v>
      </c>
      <c r="M25" s="3" t="s">
        <v>114</v>
      </c>
    </row>
    <row r="26">
      <c r="A26" s="14" t="s">
        <v>109</v>
      </c>
      <c r="B26" s="3" t="s">
        <v>20</v>
      </c>
      <c r="C26" s="3" t="s">
        <v>129</v>
      </c>
      <c r="D26" s="3" t="s">
        <v>116</v>
      </c>
      <c r="E26" s="3" t="s">
        <v>112</v>
      </c>
      <c r="G26" s="15">
        <v>2.0</v>
      </c>
      <c r="H26" s="3"/>
      <c r="I26" s="3"/>
      <c r="J26" s="3">
        <v>117.0</v>
      </c>
      <c r="K26" s="3" t="s">
        <v>113</v>
      </c>
      <c r="L26" s="3">
        <v>5.7</v>
      </c>
      <c r="M26" s="3" t="s">
        <v>114</v>
      </c>
    </row>
    <row r="27">
      <c r="A27" s="14" t="s">
        <v>109</v>
      </c>
      <c r="B27" s="3" t="s">
        <v>20</v>
      </c>
      <c r="C27" s="3" t="s">
        <v>130</v>
      </c>
      <c r="D27" s="3" t="s">
        <v>116</v>
      </c>
      <c r="E27" s="3" t="s">
        <v>112</v>
      </c>
      <c r="G27" s="15">
        <v>2.0</v>
      </c>
      <c r="H27" s="3"/>
      <c r="I27" s="3"/>
      <c r="J27" s="3">
        <v>98.0</v>
      </c>
      <c r="K27" s="3" t="s">
        <v>113</v>
      </c>
      <c r="L27" s="3">
        <v>3.7</v>
      </c>
      <c r="M27" s="3" t="s">
        <v>114</v>
      </c>
    </row>
    <row r="28">
      <c r="A28" s="14" t="s">
        <v>109</v>
      </c>
      <c r="B28" s="3" t="s">
        <v>20</v>
      </c>
      <c r="C28" s="3" t="s">
        <v>131</v>
      </c>
      <c r="D28" s="3" t="s">
        <v>115</v>
      </c>
      <c r="E28" s="3" t="s">
        <v>112</v>
      </c>
      <c r="G28" s="15">
        <v>2.0</v>
      </c>
      <c r="H28" s="3"/>
      <c r="I28" s="3"/>
      <c r="J28" s="3">
        <v>54.0</v>
      </c>
      <c r="K28" s="3" t="s">
        <v>113</v>
      </c>
      <c r="L28" s="3">
        <v>5.7</v>
      </c>
      <c r="M28" s="3" t="s">
        <v>114</v>
      </c>
    </row>
    <row r="29">
      <c r="A29" s="14" t="s">
        <v>109</v>
      </c>
      <c r="B29" s="3" t="s">
        <v>20</v>
      </c>
      <c r="C29" s="3" t="s">
        <v>132</v>
      </c>
      <c r="D29" s="3" t="s">
        <v>116</v>
      </c>
      <c r="E29" s="3" t="s">
        <v>112</v>
      </c>
      <c r="G29" s="15">
        <v>2.0</v>
      </c>
      <c r="K29" s="3" t="s">
        <v>113</v>
      </c>
      <c r="M29" s="3" t="s">
        <v>114</v>
      </c>
    </row>
    <row r="30">
      <c r="A30" s="14" t="s">
        <v>109</v>
      </c>
      <c r="B30" s="3" t="s">
        <v>20</v>
      </c>
      <c r="C30" s="3" t="s">
        <v>133</v>
      </c>
      <c r="D30" s="3" t="s">
        <v>115</v>
      </c>
      <c r="E30" s="3" t="s">
        <v>112</v>
      </c>
      <c r="G30" s="15">
        <v>1.0</v>
      </c>
      <c r="K30" s="3" t="s">
        <v>113</v>
      </c>
      <c r="M30" s="3" t="s">
        <v>114</v>
      </c>
    </row>
    <row r="31">
      <c r="A31" s="14" t="s">
        <v>109</v>
      </c>
      <c r="B31" s="3" t="s">
        <v>20</v>
      </c>
      <c r="C31" s="3" t="s">
        <v>134</v>
      </c>
      <c r="D31" s="3" t="s">
        <v>115</v>
      </c>
      <c r="E31" s="3" t="s">
        <v>112</v>
      </c>
      <c r="G31" s="15">
        <v>1.0</v>
      </c>
      <c r="K31" s="3" t="s">
        <v>113</v>
      </c>
      <c r="M31" s="3" t="s">
        <v>114</v>
      </c>
    </row>
    <row r="32">
      <c r="A32" s="14" t="s">
        <v>109</v>
      </c>
      <c r="B32" s="3" t="s">
        <v>20</v>
      </c>
      <c r="C32" s="3" t="s">
        <v>135</v>
      </c>
      <c r="D32" s="3" t="s">
        <v>116</v>
      </c>
      <c r="E32" s="3" t="s">
        <v>112</v>
      </c>
      <c r="G32" s="15">
        <v>1.0</v>
      </c>
      <c r="K32" s="3" t="s">
        <v>113</v>
      </c>
      <c r="L32" s="3">
        <v>7.3</v>
      </c>
      <c r="M32" s="3" t="s">
        <v>114</v>
      </c>
    </row>
    <row r="33">
      <c r="A33" s="6" t="s">
        <v>30</v>
      </c>
      <c r="B33" s="3" t="s">
        <v>20</v>
      </c>
      <c r="C33" s="3" t="s">
        <v>136</v>
      </c>
      <c r="D33" s="3" t="s">
        <v>137</v>
      </c>
      <c r="E33" s="3" t="s">
        <v>112</v>
      </c>
      <c r="G33" s="3">
        <v>2.0</v>
      </c>
      <c r="H33" s="3"/>
      <c r="I33" s="3"/>
      <c r="J33" s="3">
        <v>305.0</v>
      </c>
      <c r="K33" s="3" t="s">
        <v>113</v>
      </c>
      <c r="L33" s="3">
        <v>0.29</v>
      </c>
      <c r="M33" s="3" t="s">
        <v>138</v>
      </c>
    </row>
    <row r="34">
      <c r="A34" s="6" t="s">
        <v>30</v>
      </c>
      <c r="B34" s="3" t="s">
        <v>20</v>
      </c>
      <c r="C34" s="3" t="s">
        <v>136</v>
      </c>
      <c r="D34" s="3" t="s">
        <v>139</v>
      </c>
      <c r="E34" s="3" t="s">
        <v>112</v>
      </c>
      <c r="G34" s="3">
        <v>6.0</v>
      </c>
      <c r="H34" s="3"/>
      <c r="I34" s="3"/>
      <c r="J34" s="3">
        <v>340.0</v>
      </c>
      <c r="K34" s="3" t="s">
        <v>113</v>
      </c>
      <c r="L34" s="3">
        <v>0.27</v>
      </c>
      <c r="M34" s="3" t="s">
        <v>138</v>
      </c>
    </row>
    <row r="35">
      <c r="A35" s="6" t="s">
        <v>30</v>
      </c>
      <c r="B35" s="3" t="s">
        <v>20</v>
      </c>
      <c r="C35" s="3" t="s">
        <v>136</v>
      </c>
      <c r="D35" s="3" t="s">
        <v>140</v>
      </c>
      <c r="E35" s="3" t="s">
        <v>112</v>
      </c>
      <c r="G35" s="3">
        <v>5.0</v>
      </c>
      <c r="H35" s="3"/>
      <c r="I35" s="3"/>
      <c r="J35" s="3">
        <v>575.0</v>
      </c>
      <c r="K35" s="3" t="s">
        <v>113</v>
      </c>
      <c r="L35" s="3">
        <v>0.28</v>
      </c>
      <c r="M35" s="3" t="s">
        <v>138</v>
      </c>
    </row>
    <row r="36">
      <c r="A36" s="6" t="s">
        <v>30</v>
      </c>
      <c r="B36" s="3" t="s">
        <v>20</v>
      </c>
      <c r="C36" s="3" t="s">
        <v>136</v>
      </c>
      <c r="D36" s="3" t="s">
        <v>141</v>
      </c>
      <c r="E36" s="3" t="s">
        <v>112</v>
      </c>
      <c r="G36" s="3">
        <v>6.0</v>
      </c>
      <c r="H36" s="3"/>
      <c r="I36" s="3"/>
      <c r="J36" s="3">
        <v>475.0</v>
      </c>
      <c r="K36" s="3" t="s">
        <v>113</v>
      </c>
      <c r="L36" s="3">
        <v>0.27</v>
      </c>
      <c r="M36" s="3" t="s">
        <v>138</v>
      </c>
    </row>
    <row r="37">
      <c r="A37" s="6" t="s">
        <v>30</v>
      </c>
      <c r="B37" s="3" t="s">
        <v>20</v>
      </c>
      <c r="C37" s="3" t="s">
        <v>142</v>
      </c>
      <c r="D37" s="3" t="s">
        <v>137</v>
      </c>
      <c r="E37" s="3" t="s">
        <v>112</v>
      </c>
      <c r="G37" s="3">
        <v>7.0</v>
      </c>
      <c r="H37" s="3"/>
      <c r="I37" s="3"/>
      <c r="J37" s="3">
        <v>425.0</v>
      </c>
      <c r="K37" s="3" t="s">
        <v>113</v>
      </c>
      <c r="L37" s="3">
        <v>0.37</v>
      </c>
      <c r="M37" s="3" t="s">
        <v>138</v>
      </c>
    </row>
    <row r="38">
      <c r="A38" s="6" t="s">
        <v>30</v>
      </c>
      <c r="B38" s="3" t="s">
        <v>20</v>
      </c>
      <c r="C38" s="3" t="s">
        <v>142</v>
      </c>
      <c r="D38" s="3" t="s">
        <v>139</v>
      </c>
      <c r="E38" s="3" t="s">
        <v>112</v>
      </c>
      <c r="G38" s="3">
        <v>6.0</v>
      </c>
      <c r="H38" s="3"/>
      <c r="I38" s="3"/>
      <c r="J38" s="3">
        <v>500.0</v>
      </c>
      <c r="K38" s="3" t="s">
        <v>113</v>
      </c>
      <c r="L38" s="3">
        <v>0.34</v>
      </c>
      <c r="M38" s="3" t="s">
        <v>138</v>
      </c>
    </row>
    <row r="39">
      <c r="A39" s="6" t="s">
        <v>30</v>
      </c>
      <c r="B39" s="3" t="s">
        <v>20</v>
      </c>
      <c r="C39" s="3" t="s">
        <v>142</v>
      </c>
      <c r="D39" s="3" t="s">
        <v>140</v>
      </c>
      <c r="E39" s="3" t="s">
        <v>112</v>
      </c>
      <c r="G39" s="3">
        <v>7.0</v>
      </c>
      <c r="H39" s="3"/>
      <c r="I39" s="3"/>
      <c r="J39" s="3">
        <v>625.0</v>
      </c>
      <c r="K39" s="3" t="s">
        <v>113</v>
      </c>
      <c r="L39" s="3">
        <v>0.34</v>
      </c>
      <c r="M39" s="3" t="s">
        <v>138</v>
      </c>
    </row>
    <row r="40">
      <c r="A40" s="6" t="s">
        <v>30</v>
      </c>
      <c r="B40" s="3" t="s">
        <v>20</v>
      </c>
      <c r="C40" s="3" t="s">
        <v>142</v>
      </c>
      <c r="D40" s="3" t="s">
        <v>141</v>
      </c>
      <c r="E40" s="3" t="s">
        <v>112</v>
      </c>
      <c r="G40" s="3">
        <v>3.0</v>
      </c>
      <c r="H40" s="3"/>
      <c r="I40" s="3"/>
      <c r="J40" s="3">
        <v>350.0</v>
      </c>
      <c r="K40" s="3" t="s">
        <v>113</v>
      </c>
      <c r="L40" s="3">
        <v>0.37</v>
      </c>
      <c r="M40" s="3" t="s">
        <v>138</v>
      </c>
    </row>
    <row r="41">
      <c r="A41" s="6" t="s">
        <v>30</v>
      </c>
      <c r="B41" s="3" t="s">
        <v>20</v>
      </c>
      <c r="C41" s="3" t="s">
        <v>143</v>
      </c>
      <c r="D41" s="3" t="s">
        <v>139</v>
      </c>
      <c r="E41" s="3" t="s">
        <v>112</v>
      </c>
      <c r="G41" s="3">
        <v>4.0</v>
      </c>
      <c r="H41" s="3"/>
      <c r="I41" s="3"/>
      <c r="J41" s="3">
        <v>215.0</v>
      </c>
      <c r="K41" s="3" t="s">
        <v>113</v>
      </c>
      <c r="L41" s="3">
        <v>0.37</v>
      </c>
      <c r="M41" s="3" t="s">
        <v>138</v>
      </c>
    </row>
    <row r="42">
      <c r="A42" s="6" t="s">
        <v>30</v>
      </c>
      <c r="B42" s="3" t="s">
        <v>20</v>
      </c>
      <c r="C42" s="3" t="s">
        <v>143</v>
      </c>
      <c r="D42" s="3" t="s">
        <v>140</v>
      </c>
      <c r="E42" s="3" t="s">
        <v>112</v>
      </c>
      <c r="H42" s="3"/>
      <c r="I42" s="3"/>
      <c r="J42" s="3">
        <v>210.0</v>
      </c>
      <c r="K42" s="3" t="s">
        <v>113</v>
      </c>
      <c r="L42" s="3">
        <v>0.37</v>
      </c>
      <c r="M42" s="3" t="s">
        <v>138</v>
      </c>
    </row>
    <row r="43">
      <c r="A43" s="6" t="s">
        <v>30</v>
      </c>
      <c r="B43" s="3" t="s">
        <v>20</v>
      </c>
      <c r="C43" s="3" t="s">
        <v>144</v>
      </c>
      <c r="D43" s="3" t="s">
        <v>141</v>
      </c>
      <c r="E43" s="3" t="s">
        <v>112</v>
      </c>
      <c r="G43" s="3">
        <v>7.0</v>
      </c>
      <c r="H43" s="3"/>
      <c r="I43" s="3"/>
      <c r="J43" s="3">
        <v>285.0</v>
      </c>
      <c r="K43" s="3" t="s">
        <v>113</v>
      </c>
      <c r="L43" s="3">
        <v>0.37</v>
      </c>
      <c r="M43" s="3" t="s">
        <v>138</v>
      </c>
    </row>
    <row r="44">
      <c r="A44" s="6" t="s">
        <v>30</v>
      </c>
      <c r="B44" s="3" t="s">
        <v>20</v>
      </c>
      <c r="C44" s="3" t="s">
        <v>145</v>
      </c>
      <c r="D44" s="3" t="s">
        <v>140</v>
      </c>
      <c r="E44" s="3" t="s">
        <v>112</v>
      </c>
      <c r="G44" s="3">
        <v>8.0</v>
      </c>
      <c r="H44" s="3"/>
      <c r="I44" s="3"/>
      <c r="J44" s="3">
        <v>430.0</v>
      </c>
      <c r="K44" s="3" t="s">
        <v>113</v>
      </c>
      <c r="L44" s="3">
        <v>0.34</v>
      </c>
      <c r="M44" s="3" t="s">
        <v>138</v>
      </c>
    </row>
    <row r="45">
      <c r="A45" s="6" t="s">
        <v>30</v>
      </c>
      <c r="B45" s="3" t="s">
        <v>20</v>
      </c>
      <c r="C45" s="3" t="s">
        <v>145</v>
      </c>
      <c r="D45" s="3" t="s">
        <v>141</v>
      </c>
      <c r="E45" s="3" t="s">
        <v>112</v>
      </c>
      <c r="G45" s="3">
        <v>7.0</v>
      </c>
      <c r="H45" s="3"/>
      <c r="I45" s="3"/>
      <c r="J45" s="3">
        <v>380.0</v>
      </c>
      <c r="K45" s="3" t="s">
        <v>113</v>
      </c>
      <c r="L45" s="3">
        <v>0.34</v>
      </c>
      <c r="M45" s="3" t="s">
        <v>138</v>
      </c>
    </row>
    <row r="46">
      <c r="A46" s="6" t="s">
        <v>30</v>
      </c>
      <c r="B46" s="3" t="s">
        <v>20</v>
      </c>
      <c r="C46" s="3" t="s">
        <v>146</v>
      </c>
      <c r="D46" s="3" t="s">
        <v>140</v>
      </c>
      <c r="E46" s="3" t="s">
        <v>112</v>
      </c>
      <c r="H46" s="3"/>
      <c r="I46" s="3"/>
      <c r="J46" s="3">
        <v>440.0</v>
      </c>
      <c r="K46" s="3" t="s">
        <v>113</v>
      </c>
      <c r="L46" s="3">
        <v>0.37</v>
      </c>
      <c r="M46" s="3" t="s">
        <v>138</v>
      </c>
    </row>
    <row r="47">
      <c r="A47" s="6" t="s">
        <v>30</v>
      </c>
      <c r="B47" s="3" t="s">
        <v>20</v>
      </c>
      <c r="C47" s="3" t="s">
        <v>147</v>
      </c>
      <c r="D47" s="3" t="s">
        <v>139</v>
      </c>
      <c r="E47" s="3" t="s">
        <v>112</v>
      </c>
      <c r="G47" s="3">
        <v>3.0</v>
      </c>
      <c r="H47" s="3"/>
      <c r="I47" s="3"/>
      <c r="J47" s="3">
        <v>275.0</v>
      </c>
      <c r="K47" s="3" t="s">
        <v>113</v>
      </c>
      <c r="L47" s="3">
        <v>0.24</v>
      </c>
      <c r="M47" s="3" t="s">
        <v>138</v>
      </c>
    </row>
    <row r="48">
      <c r="A48" s="6" t="s">
        <v>30</v>
      </c>
      <c r="B48" s="3" t="s">
        <v>20</v>
      </c>
      <c r="C48" s="3" t="s">
        <v>148</v>
      </c>
      <c r="D48" s="3" t="s">
        <v>137</v>
      </c>
      <c r="E48" s="3" t="s">
        <v>112</v>
      </c>
      <c r="G48" s="3">
        <v>4.0</v>
      </c>
      <c r="H48" s="3"/>
      <c r="I48" s="3"/>
      <c r="J48" s="3">
        <v>300.0</v>
      </c>
      <c r="K48" s="3" t="s">
        <v>113</v>
      </c>
      <c r="L48" s="3">
        <v>0.25</v>
      </c>
      <c r="M48" s="3" t="s">
        <v>138</v>
      </c>
    </row>
    <row r="49">
      <c r="A49" s="6" t="s">
        <v>30</v>
      </c>
      <c r="B49" s="3" t="s">
        <v>20</v>
      </c>
      <c r="C49" s="3" t="s">
        <v>148</v>
      </c>
      <c r="D49" s="3" t="s">
        <v>139</v>
      </c>
      <c r="E49" s="3" t="s">
        <v>112</v>
      </c>
      <c r="G49" s="3">
        <v>4.0</v>
      </c>
      <c r="H49" s="3"/>
      <c r="I49" s="3"/>
      <c r="J49" s="3">
        <v>225.0</v>
      </c>
      <c r="K49" s="3" t="s">
        <v>113</v>
      </c>
      <c r="L49" s="3">
        <v>0.24</v>
      </c>
      <c r="M49" s="3" t="s">
        <v>138</v>
      </c>
    </row>
    <row r="50">
      <c r="A50" s="6" t="s">
        <v>30</v>
      </c>
      <c r="B50" s="3" t="s">
        <v>20</v>
      </c>
      <c r="C50" s="3" t="s">
        <v>148</v>
      </c>
      <c r="D50" s="3" t="s">
        <v>140</v>
      </c>
      <c r="E50" s="3" t="s">
        <v>112</v>
      </c>
      <c r="G50" s="3">
        <v>2.0</v>
      </c>
      <c r="H50" s="3"/>
      <c r="I50" s="3"/>
      <c r="J50" s="3">
        <v>195.0</v>
      </c>
      <c r="K50" s="3" t="s">
        <v>113</v>
      </c>
      <c r="L50" s="3">
        <v>0.21</v>
      </c>
      <c r="M50" s="3" t="s">
        <v>138</v>
      </c>
    </row>
    <row r="51">
      <c r="A51" s="6" t="s">
        <v>30</v>
      </c>
      <c r="B51" s="3" t="s">
        <v>20</v>
      </c>
      <c r="C51" s="3" t="s">
        <v>148</v>
      </c>
      <c r="D51" s="3" t="s">
        <v>141</v>
      </c>
      <c r="E51" s="3" t="s">
        <v>112</v>
      </c>
      <c r="G51" s="3">
        <v>2.0</v>
      </c>
      <c r="H51" s="3"/>
      <c r="I51" s="3"/>
      <c r="J51" s="3">
        <v>250.0</v>
      </c>
      <c r="K51" s="3" t="s">
        <v>113</v>
      </c>
      <c r="L51" s="3">
        <v>0.21</v>
      </c>
      <c r="M51" s="3" t="s">
        <v>138</v>
      </c>
    </row>
    <row r="52">
      <c r="A52" s="6" t="s">
        <v>30</v>
      </c>
      <c r="B52" s="3" t="s">
        <v>20</v>
      </c>
      <c r="C52" s="3" t="s">
        <v>149</v>
      </c>
      <c r="D52" s="3" t="s">
        <v>140</v>
      </c>
      <c r="E52" s="3" t="s">
        <v>112</v>
      </c>
      <c r="G52" s="3">
        <v>2.0</v>
      </c>
      <c r="H52" s="3"/>
      <c r="I52" s="3"/>
      <c r="J52" s="3">
        <v>185.0</v>
      </c>
      <c r="K52" s="3" t="s">
        <v>113</v>
      </c>
      <c r="L52" s="3">
        <v>0.23</v>
      </c>
      <c r="M52" s="3" t="s">
        <v>138</v>
      </c>
    </row>
    <row r="53">
      <c r="A53" s="6" t="s">
        <v>30</v>
      </c>
      <c r="B53" s="3" t="s">
        <v>20</v>
      </c>
      <c r="C53" s="3" t="s">
        <v>150</v>
      </c>
      <c r="D53" s="3" t="s">
        <v>137</v>
      </c>
      <c r="E53" s="3" t="s">
        <v>112</v>
      </c>
      <c r="G53" s="3">
        <v>2.0</v>
      </c>
      <c r="H53" s="3"/>
      <c r="I53" s="3"/>
      <c r="J53" s="3">
        <v>130.0</v>
      </c>
      <c r="K53" s="3" t="s">
        <v>113</v>
      </c>
      <c r="L53" s="3">
        <v>0.25</v>
      </c>
      <c r="M53" s="3" t="s">
        <v>138</v>
      </c>
    </row>
    <row r="54">
      <c r="A54" s="6" t="s">
        <v>30</v>
      </c>
      <c r="B54" s="3" t="s">
        <v>20</v>
      </c>
      <c r="C54" s="3" t="s">
        <v>150</v>
      </c>
      <c r="D54" s="3" t="s">
        <v>139</v>
      </c>
      <c r="E54" s="3" t="s">
        <v>112</v>
      </c>
      <c r="G54" s="3">
        <v>5.0</v>
      </c>
      <c r="H54" s="3"/>
      <c r="I54" s="3"/>
      <c r="J54" s="3">
        <v>145.0</v>
      </c>
      <c r="K54" s="3" t="s">
        <v>113</v>
      </c>
      <c r="L54" s="3">
        <v>0.24</v>
      </c>
      <c r="M54" s="3" t="s">
        <v>138</v>
      </c>
    </row>
    <row r="55">
      <c r="A55" s="6" t="s">
        <v>30</v>
      </c>
      <c r="B55" s="3" t="s">
        <v>20</v>
      </c>
      <c r="C55" s="3" t="s">
        <v>150</v>
      </c>
      <c r="D55" s="3" t="s">
        <v>140</v>
      </c>
      <c r="E55" s="3" t="s">
        <v>112</v>
      </c>
      <c r="G55" s="3">
        <v>6.0</v>
      </c>
      <c r="H55" s="3"/>
      <c r="I55" s="3"/>
      <c r="J55" s="3">
        <v>185.0</v>
      </c>
      <c r="K55" s="3" t="s">
        <v>113</v>
      </c>
      <c r="L55" s="3">
        <v>0.23</v>
      </c>
      <c r="M55" s="3" t="s">
        <v>138</v>
      </c>
    </row>
    <row r="56">
      <c r="A56" s="6" t="s">
        <v>30</v>
      </c>
      <c r="B56" s="3" t="s">
        <v>20</v>
      </c>
      <c r="C56" s="3" t="s">
        <v>150</v>
      </c>
      <c r="D56" s="3" t="s">
        <v>141</v>
      </c>
      <c r="E56" s="3" t="s">
        <v>112</v>
      </c>
      <c r="G56" s="3">
        <v>5.0</v>
      </c>
      <c r="H56" s="3"/>
      <c r="I56" s="3"/>
      <c r="J56" s="3">
        <v>165.0</v>
      </c>
      <c r="K56" s="3" t="s">
        <v>113</v>
      </c>
      <c r="L56" s="3">
        <v>0.24</v>
      </c>
      <c r="M56" s="3" t="s">
        <v>138</v>
      </c>
    </row>
    <row r="57">
      <c r="A57" s="6" t="s">
        <v>30</v>
      </c>
      <c r="B57" s="3" t="s">
        <v>20</v>
      </c>
      <c r="C57" s="3" t="s">
        <v>151</v>
      </c>
      <c r="D57" s="3" t="s">
        <v>140</v>
      </c>
      <c r="E57" s="3" t="s">
        <v>112</v>
      </c>
      <c r="G57" s="3">
        <v>3.0</v>
      </c>
      <c r="H57" s="3"/>
      <c r="I57" s="3"/>
      <c r="J57" s="3">
        <v>330.0</v>
      </c>
      <c r="K57" s="3" t="s">
        <v>113</v>
      </c>
      <c r="L57" s="3">
        <v>0.21</v>
      </c>
      <c r="M57" s="3" t="s">
        <v>138</v>
      </c>
    </row>
    <row r="58">
      <c r="A58" s="6" t="s">
        <v>30</v>
      </c>
      <c r="B58" s="3" t="s">
        <v>20</v>
      </c>
      <c r="C58" s="3" t="s">
        <v>151</v>
      </c>
      <c r="D58" s="3" t="s">
        <v>141</v>
      </c>
      <c r="E58" s="3" t="s">
        <v>112</v>
      </c>
      <c r="G58" s="3">
        <v>3.0</v>
      </c>
      <c r="H58" s="3"/>
      <c r="I58" s="3"/>
      <c r="J58" s="3">
        <v>430.0</v>
      </c>
      <c r="K58" s="3" t="s">
        <v>113</v>
      </c>
      <c r="L58" s="3">
        <v>0.21</v>
      </c>
      <c r="M58" s="3" t="s">
        <v>138</v>
      </c>
    </row>
    <row r="59">
      <c r="A59" s="6" t="s">
        <v>30</v>
      </c>
      <c r="B59" s="3" t="s">
        <v>20</v>
      </c>
      <c r="C59" s="3" t="s">
        <v>152</v>
      </c>
      <c r="D59" s="3" t="s">
        <v>139</v>
      </c>
      <c r="E59" s="3" t="s">
        <v>112</v>
      </c>
      <c r="G59" s="3">
        <v>3.0</v>
      </c>
      <c r="H59" s="3"/>
      <c r="I59" s="3"/>
      <c r="J59" s="3">
        <v>365.0</v>
      </c>
      <c r="K59" s="3" t="s">
        <v>113</v>
      </c>
      <c r="L59" s="3">
        <v>0.23</v>
      </c>
      <c r="M59" s="3" t="s">
        <v>138</v>
      </c>
    </row>
    <row r="60">
      <c r="A60" s="6" t="s">
        <v>30</v>
      </c>
      <c r="B60" s="3" t="s">
        <v>20</v>
      </c>
      <c r="C60" s="3" t="s">
        <v>152</v>
      </c>
      <c r="D60" s="3" t="s">
        <v>140</v>
      </c>
      <c r="E60" s="3" t="s">
        <v>112</v>
      </c>
      <c r="G60" s="3">
        <v>4.0</v>
      </c>
      <c r="H60" s="3"/>
      <c r="I60" s="3"/>
      <c r="J60" s="3">
        <v>245.0</v>
      </c>
      <c r="K60" s="3" t="s">
        <v>113</v>
      </c>
      <c r="L60" s="3">
        <v>0.22</v>
      </c>
      <c r="M60" s="3" t="s">
        <v>138</v>
      </c>
    </row>
    <row r="61">
      <c r="A61" s="6" t="s">
        <v>30</v>
      </c>
      <c r="B61" s="3" t="s">
        <v>20</v>
      </c>
      <c r="C61" s="3" t="s">
        <v>152</v>
      </c>
      <c r="D61" s="3" t="s">
        <v>141</v>
      </c>
      <c r="E61" s="3" t="s">
        <v>112</v>
      </c>
      <c r="G61" s="3">
        <v>3.0</v>
      </c>
      <c r="H61" s="3"/>
      <c r="I61" s="3"/>
      <c r="J61" s="3">
        <v>365.0</v>
      </c>
      <c r="K61" s="3" t="s">
        <v>113</v>
      </c>
      <c r="L61" s="3">
        <v>0.23</v>
      </c>
      <c r="M61" s="3" t="s">
        <v>138</v>
      </c>
    </row>
    <row r="62">
      <c r="A62" s="6" t="s">
        <v>30</v>
      </c>
      <c r="B62" s="3" t="s">
        <v>20</v>
      </c>
      <c r="C62" s="3" t="s">
        <v>152</v>
      </c>
      <c r="D62" s="3" t="s">
        <v>140</v>
      </c>
      <c r="E62" s="3" t="s">
        <v>112</v>
      </c>
      <c r="G62" s="3">
        <v>2.0</v>
      </c>
      <c r="H62" s="3"/>
      <c r="I62" s="3"/>
      <c r="J62" s="3">
        <v>300.0</v>
      </c>
      <c r="K62" s="3" t="s">
        <v>113</v>
      </c>
      <c r="L62" s="3">
        <v>0.22</v>
      </c>
      <c r="M62" s="3" t="s">
        <v>138</v>
      </c>
    </row>
    <row r="63">
      <c r="A63" s="6" t="s">
        <v>44</v>
      </c>
      <c r="B63" s="3" t="s">
        <v>20</v>
      </c>
      <c r="C63" s="3" t="s">
        <v>153</v>
      </c>
      <c r="D63" s="3" t="s">
        <v>154</v>
      </c>
      <c r="E63" s="3" t="s">
        <v>112</v>
      </c>
      <c r="F63" s="13">
        <v>45879.0</v>
      </c>
      <c r="H63" s="3">
        <v>198.0</v>
      </c>
      <c r="I63" s="3" t="s">
        <v>155</v>
      </c>
      <c r="J63" s="3">
        <v>1779.0</v>
      </c>
      <c r="K63" s="3" t="s">
        <v>113</v>
      </c>
      <c r="L63" s="3">
        <v>0.024</v>
      </c>
      <c r="M63" s="3" t="s">
        <v>156</v>
      </c>
    </row>
    <row r="64">
      <c r="A64" s="6" t="s">
        <v>44</v>
      </c>
      <c r="B64" s="3" t="s">
        <v>20</v>
      </c>
      <c r="C64" s="3" t="s">
        <v>153</v>
      </c>
      <c r="D64" s="3" t="s">
        <v>157</v>
      </c>
      <c r="E64" s="3" t="s">
        <v>112</v>
      </c>
      <c r="F64" s="13">
        <v>45913.0</v>
      </c>
      <c r="H64" s="3">
        <v>129.0</v>
      </c>
      <c r="I64" s="3"/>
      <c r="J64" s="3">
        <v>1289.0</v>
      </c>
      <c r="K64" s="3" t="s">
        <v>113</v>
      </c>
      <c r="L64" s="3">
        <v>0.019</v>
      </c>
      <c r="M64" s="3" t="s">
        <v>156</v>
      </c>
    </row>
    <row r="65">
      <c r="A65" s="6" t="s">
        <v>44</v>
      </c>
      <c r="B65" s="3" t="s">
        <v>20</v>
      </c>
      <c r="C65" s="3" t="s">
        <v>153</v>
      </c>
      <c r="D65" s="3" t="s">
        <v>158</v>
      </c>
      <c r="E65" s="3" t="s">
        <v>112</v>
      </c>
      <c r="F65" s="13">
        <v>45913.0</v>
      </c>
      <c r="H65" s="3">
        <v>129.0</v>
      </c>
      <c r="I65" s="3"/>
      <c r="J65" s="3">
        <v>1289.0</v>
      </c>
      <c r="K65" s="3" t="s">
        <v>113</v>
      </c>
      <c r="L65" s="3">
        <v>0.021</v>
      </c>
      <c r="M65" s="3" t="s">
        <v>156</v>
      </c>
    </row>
    <row r="66">
      <c r="A66" s="6" t="s">
        <v>44</v>
      </c>
      <c r="B66" s="3" t="s">
        <v>20</v>
      </c>
      <c r="C66" s="3" t="s">
        <v>153</v>
      </c>
      <c r="D66" s="3" t="s">
        <v>159</v>
      </c>
      <c r="E66" s="3" t="s">
        <v>160</v>
      </c>
      <c r="F66" s="13">
        <v>45881.0</v>
      </c>
      <c r="H66" s="3" t="s">
        <v>15</v>
      </c>
      <c r="I66" s="3"/>
      <c r="J66" s="3">
        <v>426.0</v>
      </c>
      <c r="K66" s="3" t="s">
        <v>113</v>
      </c>
      <c r="L66" s="3">
        <v>0.021</v>
      </c>
      <c r="M66" s="3" t="s">
        <v>156</v>
      </c>
    </row>
    <row r="67">
      <c r="A67" s="6" t="s">
        <v>44</v>
      </c>
      <c r="B67" s="3" t="s">
        <v>20</v>
      </c>
      <c r="C67" s="3" t="s">
        <v>161</v>
      </c>
      <c r="D67" s="3" t="s">
        <v>157</v>
      </c>
      <c r="E67" s="3" t="s">
        <v>112</v>
      </c>
      <c r="F67" s="13">
        <v>45850.0</v>
      </c>
      <c r="H67" s="3">
        <v>73.0</v>
      </c>
      <c r="I67" s="3"/>
      <c r="J67" s="3">
        <v>689.0</v>
      </c>
      <c r="K67" s="3" t="s">
        <v>113</v>
      </c>
      <c r="L67" s="3">
        <v>0.009</v>
      </c>
      <c r="M67" s="3" t="s">
        <v>156</v>
      </c>
    </row>
    <row r="68">
      <c r="A68" s="6" t="s">
        <v>44</v>
      </c>
      <c r="B68" s="3" t="s">
        <v>20</v>
      </c>
      <c r="C68" s="3" t="s">
        <v>162</v>
      </c>
      <c r="D68" s="3" t="s">
        <v>163</v>
      </c>
      <c r="E68" s="3" t="s">
        <v>112</v>
      </c>
      <c r="F68" s="3">
        <v>3.0</v>
      </c>
      <c r="H68" s="3">
        <v>119.0</v>
      </c>
      <c r="I68" s="3"/>
      <c r="J68" s="3">
        <v>357.0</v>
      </c>
      <c r="K68" s="3" t="s">
        <v>113</v>
      </c>
      <c r="L68" s="3" t="s">
        <v>15</v>
      </c>
    </row>
    <row r="69">
      <c r="A69" s="6" t="s">
        <v>44</v>
      </c>
      <c r="B69" s="3" t="s">
        <v>20</v>
      </c>
      <c r="C69" s="3" t="s">
        <v>164</v>
      </c>
      <c r="D69" s="3" t="s">
        <v>165</v>
      </c>
      <c r="E69" s="3" t="s">
        <v>112</v>
      </c>
      <c r="F69" s="3">
        <v>7.0</v>
      </c>
      <c r="H69" s="3">
        <v>92.0</v>
      </c>
      <c r="I69" s="3"/>
      <c r="J69" s="3">
        <v>645.0</v>
      </c>
      <c r="K69" s="3" t="s">
        <v>113</v>
      </c>
      <c r="L69" s="3">
        <v>0.027</v>
      </c>
      <c r="M69" s="3" t="s">
        <v>156</v>
      </c>
    </row>
    <row r="70">
      <c r="A70" s="6" t="s">
        <v>49</v>
      </c>
      <c r="B70" s="3" t="s">
        <v>20</v>
      </c>
      <c r="C70" s="6" t="s">
        <v>166</v>
      </c>
      <c r="D70" s="3" t="s">
        <v>167</v>
      </c>
      <c r="E70" s="3" t="s">
        <v>112</v>
      </c>
      <c r="G70" s="3">
        <v>4.4</v>
      </c>
      <c r="H70" s="3">
        <v>75.0</v>
      </c>
      <c r="I70" s="3" t="s">
        <v>168</v>
      </c>
      <c r="J70" s="3">
        <v>330.0</v>
      </c>
      <c r="K70" s="3" t="s">
        <v>113</v>
      </c>
      <c r="L70" s="3">
        <v>0.4</v>
      </c>
      <c r="M70" s="3" t="s">
        <v>169</v>
      </c>
    </row>
    <row r="71">
      <c r="A71" s="6" t="s">
        <v>53</v>
      </c>
      <c r="B71" s="3" t="s">
        <v>20</v>
      </c>
      <c r="C71" s="6" t="s">
        <v>170</v>
      </c>
      <c r="D71" s="8"/>
      <c r="E71" s="3" t="s">
        <v>112</v>
      </c>
      <c r="G71" s="3">
        <v>10.7</v>
      </c>
      <c r="H71" s="3">
        <v>85.0</v>
      </c>
      <c r="I71" s="3" t="s">
        <v>168</v>
      </c>
      <c r="J71" s="9">
        <f>H71*G71</f>
        <v>909.5</v>
      </c>
      <c r="K71" s="3" t="s">
        <v>113</v>
      </c>
      <c r="L71" s="3">
        <v>50.0</v>
      </c>
      <c r="M71" s="3" t="s">
        <v>171</v>
      </c>
    </row>
    <row r="72">
      <c r="A72" s="6" t="s">
        <v>60</v>
      </c>
      <c r="B72" s="3" t="s">
        <v>20</v>
      </c>
      <c r="C72" s="6" t="s">
        <v>170</v>
      </c>
      <c r="D72" s="8"/>
      <c r="E72" s="3" t="s">
        <v>112</v>
      </c>
      <c r="G72" s="3">
        <v>5.6</v>
      </c>
      <c r="H72" s="3">
        <v>36.0</v>
      </c>
      <c r="I72" s="3" t="s">
        <v>168</v>
      </c>
      <c r="J72" s="3">
        <v>199.0</v>
      </c>
      <c r="K72" s="3" t="s">
        <v>113</v>
      </c>
      <c r="L72" s="3">
        <v>3.0</v>
      </c>
      <c r="M72" s="3" t="s">
        <v>172</v>
      </c>
    </row>
    <row r="73">
      <c r="A73" s="6" t="s">
        <v>62</v>
      </c>
      <c r="B73" s="3" t="s">
        <v>20</v>
      </c>
      <c r="C73" s="6" t="s">
        <v>170</v>
      </c>
      <c r="D73" s="3">
        <v>1969.0</v>
      </c>
      <c r="E73" s="3" t="s">
        <v>112</v>
      </c>
      <c r="G73" s="3">
        <v>8.0</v>
      </c>
      <c r="H73" s="3">
        <v>28.0</v>
      </c>
      <c r="I73" s="3" t="s">
        <v>168</v>
      </c>
      <c r="J73" s="3">
        <v>224.0</v>
      </c>
      <c r="K73" s="3" t="s">
        <v>113</v>
      </c>
      <c r="L73" s="3">
        <v>3.1</v>
      </c>
      <c r="M73" s="3" t="s">
        <v>172</v>
      </c>
    </row>
    <row r="74">
      <c r="A74" s="6" t="s">
        <v>65</v>
      </c>
      <c r="B74" s="3" t="s">
        <v>20</v>
      </c>
      <c r="C74" s="3" t="s">
        <v>173</v>
      </c>
      <c r="D74" s="3" t="s">
        <v>174</v>
      </c>
      <c r="E74" s="3" t="s">
        <v>175</v>
      </c>
      <c r="F74" s="13">
        <v>45859.0</v>
      </c>
      <c r="G74" s="3">
        <v>10.5</v>
      </c>
      <c r="H74" s="3" t="s">
        <v>176</v>
      </c>
      <c r="I74" s="3" t="s">
        <v>177</v>
      </c>
      <c r="J74" s="16" t="s">
        <v>178</v>
      </c>
      <c r="K74" s="8"/>
      <c r="L74" s="3">
        <v>0.061</v>
      </c>
      <c r="M74" s="3" t="s">
        <v>179</v>
      </c>
    </row>
    <row r="75">
      <c r="A75" s="6" t="s">
        <v>65</v>
      </c>
      <c r="B75" s="3" t="s">
        <v>20</v>
      </c>
      <c r="C75" s="3" t="s">
        <v>180</v>
      </c>
      <c r="D75" s="3" t="s">
        <v>174</v>
      </c>
      <c r="E75" s="3" t="s">
        <v>175</v>
      </c>
      <c r="F75" s="13">
        <v>45824.0</v>
      </c>
      <c r="G75" s="3">
        <v>9.3</v>
      </c>
      <c r="H75" s="13">
        <v>45698.0</v>
      </c>
      <c r="I75" s="3" t="s">
        <v>177</v>
      </c>
      <c r="J75" s="16" t="s">
        <v>178</v>
      </c>
      <c r="K75" s="8"/>
      <c r="L75" s="3">
        <v>0.068</v>
      </c>
      <c r="M75" s="3" t="s">
        <v>179</v>
      </c>
    </row>
    <row r="76">
      <c r="A76" s="6" t="s">
        <v>72</v>
      </c>
      <c r="B76" s="3" t="s">
        <v>20</v>
      </c>
      <c r="C76" s="3" t="s">
        <v>181</v>
      </c>
      <c r="D76" s="3" t="s">
        <v>182</v>
      </c>
      <c r="E76" s="3" t="s">
        <v>175</v>
      </c>
      <c r="F76" s="13">
        <v>45698.0</v>
      </c>
      <c r="G76" s="3">
        <v>4.9</v>
      </c>
      <c r="H76" s="8"/>
      <c r="I76" s="8"/>
      <c r="J76" s="16" t="s">
        <v>178</v>
      </c>
      <c r="K76" s="8"/>
      <c r="L76" s="3" t="s">
        <v>183</v>
      </c>
      <c r="M76" s="3" t="s">
        <v>184</v>
      </c>
      <c r="N76" s="3" t="s">
        <v>185</v>
      </c>
    </row>
    <row r="77">
      <c r="A77" s="6" t="s">
        <v>68</v>
      </c>
      <c r="B77" s="3" t="s">
        <v>20</v>
      </c>
      <c r="C77" s="3" t="s">
        <v>186</v>
      </c>
      <c r="D77" s="3" t="s">
        <v>187</v>
      </c>
      <c r="E77" s="3" t="s">
        <v>188</v>
      </c>
      <c r="G77" s="3">
        <v>5.0</v>
      </c>
      <c r="J77" s="3">
        <v>238.0</v>
      </c>
      <c r="K77" s="3" t="s">
        <v>113</v>
      </c>
      <c r="L77" s="3">
        <v>2.53</v>
      </c>
      <c r="M77" s="3" t="s">
        <v>189</v>
      </c>
      <c r="N77" s="3">
        <v>49.0</v>
      </c>
      <c r="O77" s="3" t="s">
        <v>190</v>
      </c>
    </row>
    <row r="78">
      <c r="A78" s="6" t="s">
        <v>68</v>
      </c>
      <c r="B78" s="3" t="s">
        <v>20</v>
      </c>
      <c r="C78" s="3" t="s">
        <v>191</v>
      </c>
      <c r="D78" s="3" t="s">
        <v>187</v>
      </c>
      <c r="E78" s="3" t="s">
        <v>188</v>
      </c>
      <c r="G78" s="3">
        <v>7.5</v>
      </c>
      <c r="J78" s="3">
        <v>814.1</v>
      </c>
      <c r="K78" s="3" t="s">
        <v>113</v>
      </c>
      <c r="L78" s="3">
        <v>2.28</v>
      </c>
      <c r="M78" s="3" t="s">
        <v>189</v>
      </c>
      <c r="N78" s="3">
        <v>24.0</v>
      </c>
      <c r="O78" s="3" t="s">
        <v>190</v>
      </c>
    </row>
    <row r="79">
      <c r="A79" s="6" t="s">
        <v>68</v>
      </c>
      <c r="B79" s="3" t="s">
        <v>20</v>
      </c>
      <c r="C79" s="3" t="s">
        <v>192</v>
      </c>
      <c r="D79" s="3" t="s">
        <v>187</v>
      </c>
      <c r="E79" s="3" t="s">
        <v>188</v>
      </c>
      <c r="G79" s="3">
        <v>11.5</v>
      </c>
      <c r="J79" s="3">
        <v>361.7</v>
      </c>
      <c r="K79" s="3" t="s">
        <v>113</v>
      </c>
      <c r="L79" s="3">
        <v>2.08</v>
      </c>
      <c r="M79" s="3" t="s">
        <v>189</v>
      </c>
      <c r="N79" s="3">
        <v>17.0</v>
      </c>
      <c r="O79" s="3" t="s">
        <v>190</v>
      </c>
    </row>
    <row r="80">
      <c r="A80" s="6" t="s">
        <v>68</v>
      </c>
      <c r="B80" s="3" t="s">
        <v>20</v>
      </c>
      <c r="C80" s="3" t="s">
        <v>193</v>
      </c>
      <c r="D80" s="3" t="s">
        <v>187</v>
      </c>
      <c r="E80" s="3" t="s">
        <v>188</v>
      </c>
      <c r="G80" s="3">
        <v>2.0</v>
      </c>
      <c r="J80" s="3">
        <v>334.0</v>
      </c>
      <c r="K80" s="3" t="s">
        <v>113</v>
      </c>
      <c r="L80" s="3">
        <v>1.4</v>
      </c>
      <c r="M80" s="3" t="s">
        <v>189</v>
      </c>
      <c r="N80" s="3">
        <v>101.0</v>
      </c>
      <c r="O80" s="3" t="s">
        <v>190</v>
      </c>
    </row>
  </sheetData>
  <hyperlinks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C70"/>
    <hyperlink r:id="rId72" ref="A71"/>
    <hyperlink r:id="rId73" ref="C71"/>
    <hyperlink r:id="rId74" ref="A72"/>
    <hyperlink r:id="rId75" ref="C72"/>
    <hyperlink r:id="rId76" ref="A73"/>
    <hyperlink r:id="rId77" ref="C73"/>
    <hyperlink r:id="rId78" ref="A74"/>
    <hyperlink r:id="rId79" ref="A75"/>
    <hyperlink r:id="rId80" ref="A76"/>
    <hyperlink r:id="rId81" ref="A77"/>
    <hyperlink r:id="rId82" ref="A78"/>
    <hyperlink r:id="rId83" ref="A79"/>
    <hyperlink r:id="rId84" ref="A80"/>
  </hyperlinks>
  <drawing r:id="rId85"/>
  <legacyDrawing r:id="rId8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6" max="6" width="17.63"/>
    <col customWidth="1" min="9" max="9" width="18.13"/>
    <col customWidth="1" min="10" max="10" width="14.38"/>
    <col customWidth="1" min="11" max="11" width="18.5"/>
    <col customWidth="1" min="13" max="13" width="19.75"/>
  </cols>
  <sheetData>
    <row r="1">
      <c r="A1" s="11" t="s">
        <v>96</v>
      </c>
      <c r="B1" s="11" t="s">
        <v>97</v>
      </c>
      <c r="C1" s="12" t="s">
        <v>98</v>
      </c>
      <c r="D1" s="12" t="s">
        <v>99</v>
      </c>
      <c r="E1" s="12" t="s">
        <v>100</v>
      </c>
      <c r="F1" s="11" t="s">
        <v>101</v>
      </c>
      <c r="G1" s="11" t="s">
        <v>102</v>
      </c>
      <c r="H1" s="3" t="s">
        <v>105</v>
      </c>
      <c r="I1" s="3" t="s">
        <v>106</v>
      </c>
      <c r="J1" s="3" t="s">
        <v>107</v>
      </c>
      <c r="K1" s="3" t="s">
        <v>108</v>
      </c>
      <c r="L1" s="3" t="s">
        <v>194</v>
      </c>
      <c r="M1" s="3" t="s">
        <v>195</v>
      </c>
      <c r="N1" s="3" t="s">
        <v>196</v>
      </c>
      <c r="O1" s="3" t="s">
        <v>197</v>
      </c>
    </row>
    <row r="2">
      <c r="A2" s="6" t="s">
        <v>198</v>
      </c>
      <c r="B2" s="3" t="s">
        <v>12</v>
      </c>
      <c r="C2" s="15" t="s">
        <v>199</v>
      </c>
      <c r="D2" s="3">
        <v>1996.0</v>
      </c>
      <c r="E2" s="3" t="s">
        <v>112</v>
      </c>
      <c r="G2" s="15">
        <v>2.7</v>
      </c>
      <c r="H2" s="17">
        <v>84.8</v>
      </c>
      <c r="I2" s="3" t="s">
        <v>200</v>
      </c>
      <c r="J2" s="3">
        <v>9.5</v>
      </c>
      <c r="K2" s="3" t="s">
        <v>201</v>
      </c>
      <c r="L2" s="3">
        <v>2.3</v>
      </c>
      <c r="M2" s="3" t="s">
        <v>202</v>
      </c>
      <c r="N2" s="3">
        <v>2.1</v>
      </c>
      <c r="O2" s="17" t="s">
        <v>203</v>
      </c>
    </row>
    <row r="3">
      <c r="A3" s="6" t="s">
        <v>198</v>
      </c>
      <c r="B3" s="3" t="s">
        <v>12</v>
      </c>
      <c r="C3" s="15" t="s">
        <v>199</v>
      </c>
      <c r="D3" s="3">
        <v>1997.0</v>
      </c>
      <c r="E3" s="3" t="s">
        <v>112</v>
      </c>
      <c r="G3" s="15">
        <v>2.3</v>
      </c>
      <c r="H3" s="17">
        <v>101.9</v>
      </c>
      <c r="I3" s="3" t="s">
        <v>200</v>
      </c>
      <c r="J3" s="3">
        <v>4.0</v>
      </c>
      <c r="K3" s="3" t="s">
        <v>201</v>
      </c>
      <c r="L3" s="3">
        <v>1.6</v>
      </c>
      <c r="M3" s="3" t="s">
        <v>202</v>
      </c>
      <c r="N3" s="3">
        <v>1.9</v>
      </c>
      <c r="O3" s="17" t="s">
        <v>203</v>
      </c>
    </row>
    <row r="4">
      <c r="A4" s="6" t="s">
        <v>198</v>
      </c>
      <c r="B4" s="3" t="s">
        <v>12</v>
      </c>
      <c r="C4" s="15" t="s">
        <v>204</v>
      </c>
      <c r="D4" s="3">
        <v>1996.0</v>
      </c>
      <c r="E4" s="3" t="s">
        <v>112</v>
      </c>
      <c r="G4" s="15">
        <v>2.4</v>
      </c>
      <c r="H4" s="17">
        <v>57.8</v>
      </c>
      <c r="I4" s="3" t="s">
        <v>200</v>
      </c>
      <c r="J4" s="3">
        <v>6.8</v>
      </c>
      <c r="K4" s="3" t="s">
        <v>201</v>
      </c>
      <c r="L4" s="3">
        <v>2.4</v>
      </c>
      <c r="M4" s="3" t="s">
        <v>202</v>
      </c>
      <c r="N4" s="3">
        <v>2.6</v>
      </c>
      <c r="O4" s="17" t="s">
        <v>203</v>
      </c>
    </row>
    <row r="5">
      <c r="A5" s="6" t="s">
        <v>198</v>
      </c>
      <c r="B5" s="3" t="s">
        <v>12</v>
      </c>
      <c r="C5" s="15" t="s">
        <v>205</v>
      </c>
      <c r="D5" s="3">
        <v>1997.0</v>
      </c>
      <c r="E5" s="3" t="s">
        <v>112</v>
      </c>
      <c r="G5" s="15">
        <v>1.9</v>
      </c>
      <c r="H5" s="17">
        <v>82.9</v>
      </c>
      <c r="I5" s="3" t="s">
        <v>200</v>
      </c>
      <c r="J5" s="3">
        <v>6.8</v>
      </c>
      <c r="K5" s="3" t="s">
        <v>201</v>
      </c>
      <c r="L5" s="3">
        <v>1.0</v>
      </c>
      <c r="M5" s="3" t="s">
        <v>202</v>
      </c>
      <c r="N5" s="3">
        <v>0.9</v>
      </c>
      <c r="O5" s="17" t="s">
        <v>203</v>
      </c>
    </row>
    <row r="6">
      <c r="A6" s="6" t="s">
        <v>198</v>
      </c>
      <c r="B6" s="3" t="s">
        <v>12</v>
      </c>
      <c r="C6" s="15" t="s">
        <v>206</v>
      </c>
      <c r="D6" s="3">
        <v>1995.0</v>
      </c>
      <c r="E6" s="3" t="s">
        <v>112</v>
      </c>
      <c r="G6" s="15">
        <v>2.1</v>
      </c>
      <c r="H6" s="15">
        <v>39.2</v>
      </c>
      <c r="I6" s="3" t="s">
        <v>200</v>
      </c>
      <c r="J6" s="3">
        <v>7.0</v>
      </c>
      <c r="K6" s="3" t="s">
        <v>201</v>
      </c>
      <c r="L6" s="3">
        <v>4.7</v>
      </c>
      <c r="M6" s="3" t="s">
        <v>202</v>
      </c>
      <c r="N6" s="3">
        <v>1.7</v>
      </c>
      <c r="O6" s="17" t="s">
        <v>203</v>
      </c>
    </row>
    <row r="7">
      <c r="A7" s="6" t="s">
        <v>198</v>
      </c>
      <c r="B7" s="3" t="s">
        <v>12</v>
      </c>
      <c r="C7" s="15" t="s">
        <v>206</v>
      </c>
      <c r="D7" s="3">
        <v>1996.0</v>
      </c>
      <c r="E7" s="3" t="s">
        <v>112</v>
      </c>
      <c r="G7" s="15">
        <v>2.5</v>
      </c>
      <c r="H7" s="15">
        <v>56.1</v>
      </c>
      <c r="I7" s="3" t="s">
        <v>200</v>
      </c>
      <c r="J7" s="3">
        <v>7.0</v>
      </c>
      <c r="K7" s="3" t="s">
        <v>201</v>
      </c>
      <c r="L7" s="3">
        <v>4.9</v>
      </c>
      <c r="M7" s="3" t="s">
        <v>202</v>
      </c>
      <c r="N7" s="3">
        <v>2.5</v>
      </c>
      <c r="O7" s="17" t="s">
        <v>203</v>
      </c>
    </row>
    <row r="8">
      <c r="A8" s="6" t="s">
        <v>198</v>
      </c>
      <c r="B8" s="3" t="s">
        <v>12</v>
      </c>
      <c r="C8" s="15" t="s">
        <v>206</v>
      </c>
      <c r="D8" s="3">
        <v>1997.0</v>
      </c>
      <c r="E8" s="3" t="s">
        <v>112</v>
      </c>
      <c r="G8" s="15">
        <v>2.6</v>
      </c>
      <c r="H8" s="15">
        <v>21.3</v>
      </c>
      <c r="I8" s="3" t="s">
        <v>200</v>
      </c>
      <c r="J8" s="3">
        <v>6.9</v>
      </c>
      <c r="K8" s="3" t="s">
        <v>201</v>
      </c>
      <c r="L8" s="3">
        <v>9.2</v>
      </c>
      <c r="M8" s="3" t="s">
        <v>202</v>
      </c>
      <c r="N8" s="3">
        <v>4.7</v>
      </c>
      <c r="O8" s="17" t="s">
        <v>203</v>
      </c>
    </row>
    <row r="9">
      <c r="A9" s="6" t="s">
        <v>198</v>
      </c>
      <c r="B9" s="3" t="s">
        <v>12</v>
      </c>
      <c r="C9" s="15" t="s">
        <v>207</v>
      </c>
      <c r="D9" s="3">
        <v>1996.0</v>
      </c>
      <c r="E9" s="3" t="s">
        <v>112</v>
      </c>
      <c r="G9" s="15">
        <v>2.4</v>
      </c>
      <c r="H9" s="17">
        <v>60.8</v>
      </c>
      <c r="I9" s="3" t="s">
        <v>200</v>
      </c>
      <c r="J9" s="3">
        <v>6.4</v>
      </c>
      <c r="K9" s="3" t="s">
        <v>201</v>
      </c>
      <c r="L9" s="3">
        <v>1.9</v>
      </c>
      <c r="M9" s="3" t="s">
        <v>202</v>
      </c>
      <c r="N9" s="3">
        <v>1.5</v>
      </c>
      <c r="O9" s="17" t="s">
        <v>203</v>
      </c>
    </row>
    <row r="10">
      <c r="A10" s="6" t="s">
        <v>198</v>
      </c>
      <c r="B10" s="3" t="s">
        <v>12</v>
      </c>
      <c r="C10" s="15" t="s">
        <v>208</v>
      </c>
      <c r="D10" s="3">
        <v>1997.0</v>
      </c>
      <c r="E10" s="3" t="s">
        <v>112</v>
      </c>
      <c r="G10" s="15">
        <v>2.5</v>
      </c>
      <c r="H10" s="17">
        <v>35.7</v>
      </c>
      <c r="I10" s="3" t="s">
        <v>200</v>
      </c>
      <c r="J10" s="3">
        <v>3.7</v>
      </c>
      <c r="K10" s="3" t="s">
        <v>201</v>
      </c>
      <c r="L10" s="3">
        <v>1.9</v>
      </c>
      <c r="M10" s="3" t="s">
        <v>202</v>
      </c>
      <c r="N10" s="3">
        <v>1.1</v>
      </c>
      <c r="O10" s="17" t="s">
        <v>203</v>
      </c>
    </row>
    <row r="11">
      <c r="A11" s="6" t="s">
        <v>198</v>
      </c>
      <c r="B11" s="3" t="s">
        <v>12</v>
      </c>
      <c r="C11" s="15" t="s">
        <v>209</v>
      </c>
      <c r="D11" s="3">
        <v>1996.0</v>
      </c>
      <c r="E11" s="3" t="s">
        <v>112</v>
      </c>
      <c r="G11" s="15">
        <v>1.1</v>
      </c>
      <c r="H11" s="17">
        <v>41.0</v>
      </c>
      <c r="I11" s="3" t="s">
        <v>200</v>
      </c>
      <c r="J11" s="3">
        <v>3.7</v>
      </c>
      <c r="K11" s="3" t="s">
        <v>201</v>
      </c>
      <c r="L11" s="3">
        <v>0.6</v>
      </c>
      <c r="M11" s="3" t="s">
        <v>202</v>
      </c>
      <c r="N11" s="3">
        <v>7.5</v>
      </c>
      <c r="O11" s="17" t="s">
        <v>203</v>
      </c>
    </row>
    <row r="12">
      <c r="A12" s="6" t="s">
        <v>198</v>
      </c>
      <c r="B12" s="3" t="s">
        <v>12</v>
      </c>
      <c r="C12" s="15" t="s">
        <v>210</v>
      </c>
      <c r="D12" s="3">
        <v>1996.0</v>
      </c>
      <c r="E12" s="3" t="s">
        <v>112</v>
      </c>
      <c r="G12" s="15">
        <v>2.8</v>
      </c>
      <c r="H12" s="15">
        <v>51.8</v>
      </c>
      <c r="I12" s="3" t="s">
        <v>200</v>
      </c>
      <c r="J12" s="3">
        <v>3.0</v>
      </c>
      <c r="K12" s="3" t="s">
        <v>201</v>
      </c>
      <c r="L12" s="3">
        <v>0.7</v>
      </c>
      <c r="M12" s="3" t="s">
        <v>202</v>
      </c>
      <c r="N12" s="3">
        <v>5.8</v>
      </c>
      <c r="O12" s="17" t="s">
        <v>203</v>
      </c>
    </row>
    <row r="13">
      <c r="A13" s="6" t="s">
        <v>198</v>
      </c>
      <c r="B13" s="3" t="s">
        <v>12</v>
      </c>
      <c r="C13" s="15" t="s">
        <v>210</v>
      </c>
      <c r="D13" s="3">
        <v>1997.0</v>
      </c>
      <c r="E13" s="3" t="s">
        <v>112</v>
      </c>
      <c r="G13" s="15">
        <v>3.3</v>
      </c>
      <c r="H13" s="15">
        <v>64.7</v>
      </c>
      <c r="I13" s="3" t="s">
        <v>200</v>
      </c>
      <c r="J13" s="3">
        <v>2.9</v>
      </c>
      <c r="K13" s="3" t="s">
        <v>201</v>
      </c>
      <c r="L13" s="3">
        <v>0.6</v>
      </c>
      <c r="M13" s="3" t="s">
        <v>202</v>
      </c>
      <c r="N13" s="3">
        <v>9.3</v>
      </c>
      <c r="O13" s="17" t="s">
        <v>203</v>
      </c>
    </row>
    <row r="14">
      <c r="A14" s="6" t="s">
        <v>198</v>
      </c>
      <c r="B14" s="3" t="s">
        <v>12</v>
      </c>
      <c r="C14" s="15" t="s">
        <v>211</v>
      </c>
      <c r="D14" s="3">
        <v>1997.0</v>
      </c>
      <c r="E14" s="3" t="s">
        <v>112</v>
      </c>
      <c r="G14" s="15">
        <v>3.3</v>
      </c>
      <c r="H14" s="17">
        <v>26.7</v>
      </c>
      <c r="I14" s="3" t="s">
        <v>200</v>
      </c>
      <c r="J14" s="3">
        <v>2.9</v>
      </c>
      <c r="K14" s="3" t="s">
        <v>201</v>
      </c>
      <c r="L14" s="3">
        <v>0.6</v>
      </c>
      <c r="M14" s="3" t="s">
        <v>202</v>
      </c>
      <c r="N14" s="3">
        <v>5.8</v>
      </c>
      <c r="O14" s="17" t="s">
        <v>203</v>
      </c>
    </row>
    <row r="15">
      <c r="C15" s="15"/>
      <c r="F15" s="15"/>
      <c r="O15" s="17"/>
    </row>
    <row r="16">
      <c r="C16" s="15"/>
      <c r="F16" s="15"/>
      <c r="O16" s="17"/>
    </row>
    <row r="17">
      <c r="C17" s="15"/>
      <c r="F17" s="15"/>
      <c r="O17" s="17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</hyperlinks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